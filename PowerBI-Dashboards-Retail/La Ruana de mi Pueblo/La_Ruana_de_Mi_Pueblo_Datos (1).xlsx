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ías" sheetId="1" state="visible" r:id="rId3"/>
    <sheet name="Productos" sheetId="2" state="visible" r:id="rId4"/>
    <sheet name="Ventas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<sst xmlns="http://schemas.openxmlformats.org/spreadsheetml/2006/main" count="927" uniqueCount="300">
  <si>
    <t xml:space="preserve">LA RUANA DE MI PUEBLO – CATEGORÍAS DE PRODUCTOS</t>
  </si>
  <si>
    <t xml:space="preserve">categoria_id</t>
  </si>
  <si>
    <t xml:space="preserve">nombre_categoria</t>
  </si>
  <si>
    <t xml:space="preserve">descripcion</t>
  </si>
  <si>
    <t xml:space="preserve">CAT01</t>
  </si>
  <si>
    <t xml:space="preserve">Ruanas Tradicionales</t>
  </si>
  <si>
    <t xml:space="preserve">Ruanas artesanales de lana 100% boyacense</t>
  </si>
  <si>
    <t xml:space="preserve">CAT02</t>
  </si>
  <si>
    <t xml:space="preserve">Ruanas Ejecutivas</t>
  </si>
  <si>
    <t xml:space="preserve">Ruanas finas para uso urbano y corporativo</t>
  </si>
  <si>
    <t xml:space="preserve">CAT03</t>
  </si>
  <si>
    <t xml:space="preserve">Línea Infantil</t>
  </si>
  <si>
    <t xml:space="preserve">Ruanas y accesorios para niños</t>
  </si>
  <si>
    <t xml:space="preserve">CAT04</t>
  </si>
  <si>
    <t xml:space="preserve">Accesorios de Lana</t>
  </si>
  <si>
    <t xml:space="preserve">Bufandas, gorros, guantes y ponchos</t>
  </si>
  <si>
    <t xml:space="preserve">CAT05</t>
  </si>
  <si>
    <t xml:space="preserve">Edición Especial</t>
  </si>
  <si>
    <t xml:space="preserve">Piezas exclusivas bordadas a mano</t>
  </si>
  <si>
    <t xml:space="preserve">LA RUANA DE MI PUEBLO – CATÁLOGO DE PRODUCTOS</t>
  </si>
  <si>
    <t xml:space="preserve">producto_id</t>
  </si>
  <si>
    <t xml:space="preserve">nombre_producto</t>
  </si>
  <si>
    <t xml:space="preserve">costo_COP</t>
  </si>
  <si>
    <t xml:space="preserve">precio_venta_COP</t>
  </si>
  <si>
    <t xml:space="preserve">stock_actual</t>
  </si>
  <si>
    <t xml:space="preserve">stock_minimo</t>
  </si>
  <si>
    <t xml:space="preserve">proveedor</t>
  </si>
  <si>
    <t xml:space="preserve">P001</t>
  </si>
  <si>
    <t xml:space="preserve">Ruana Tradicional Sencilla</t>
  </si>
  <si>
    <t xml:space="preserve">Artesanas Nobsa</t>
  </si>
  <si>
    <t xml:space="preserve">P002</t>
  </si>
  <si>
    <t xml:space="preserve">Ruana Tradicional Mediana</t>
  </si>
  <si>
    <t xml:space="preserve">P003</t>
  </si>
  <si>
    <t xml:space="preserve">Ruana Tradicional Grande</t>
  </si>
  <si>
    <t xml:space="preserve">P004</t>
  </si>
  <si>
    <t xml:space="preserve">Ruana con Flecos Natural</t>
  </si>
  <si>
    <t xml:space="preserve">Cooperativa Tunja</t>
  </si>
  <si>
    <t xml:space="preserve">P005</t>
  </si>
  <si>
    <t xml:space="preserve">Ruana a Cuadros Clásica</t>
  </si>
  <si>
    <t xml:space="preserve">P006</t>
  </si>
  <si>
    <t xml:space="preserve">Ruana Ejecutiva Lisa</t>
  </si>
  <si>
    <t xml:space="preserve">Tejidos Fino Col</t>
  </si>
  <si>
    <t xml:space="preserve">P007</t>
  </si>
  <si>
    <t xml:space="preserve">Ruana Ejecutiva Rayas</t>
  </si>
  <si>
    <t xml:space="preserve">P008</t>
  </si>
  <si>
    <t xml:space="preserve">Ruana Ejecutiva 100% Alpaca</t>
  </si>
  <si>
    <t xml:space="preserve">Alpaca Premium</t>
  </si>
  <si>
    <t xml:space="preserve">P009</t>
  </si>
  <si>
    <t xml:space="preserve">Ruana 100% Lana de Oveja</t>
  </si>
  <si>
    <t xml:space="preserve">P010</t>
  </si>
  <si>
    <t xml:space="preserve">Ruana Infantil Colores</t>
  </si>
  <si>
    <t xml:space="preserve">P011</t>
  </si>
  <si>
    <t xml:space="preserve">Ruana Infantil Con Capucha</t>
  </si>
  <si>
    <t xml:space="preserve">P012</t>
  </si>
  <si>
    <t xml:space="preserve">Conjunto Infantil Ruana+Gorro</t>
  </si>
  <si>
    <t xml:space="preserve">P013</t>
  </si>
  <si>
    <t xml:space="preserve">Bufanda Lana Natural</t>
  </si>
  <si>
    <t xml:space="preserve">P014</t>
  </si>
  <si>
    <t xml:space="preserve">Gorro de Lana Boyacense</t>
  </si>
  <si>
    <t xml:space="preserve">P015</t>
  </si>
  <si>
    <t xml:space="preserve">Guantes de Lana</t>
  </si>
  <si>
    <t xml:space="preserve">P016</t>
  </si>
  <si>
    <t xml:space="preserve">Poncho Wayuu Multicolor</t>
  </si>
  <si>
    <t xml:space="preserve">P017</t>
  </si>
  <si>
    <t xml:space="preserve">Ruana Bordada a Mano</t>
  </si>
  <si>
    <t xml:space="preserve">Artesana Maestra</t>
  </si>
  <si>
    <t xml:space="preserve">P018</t>
  </si>
  <si>
    <t xml:space="preserve">Ruana Edición Especial Navidad</t>
  </si>
  <si>
    <t xml:space="preserve">P019</t>
  </si>
  <si>
    <t xml:space="preserve">Set Regalo Ruana+Bufanda</t>
  </si>
  <si>
    <t xml:space="preserve">LA RUANA DE MI PUEBLO – REGISTRO DE VENTAS (Oct 2025 – Mar 2026)</t>
  </si>
  <si>
    <t xml:space="preserve">venta_id</t>
  </si>
  <si>
    <t xml:space="preserve">fecha</t>
  </si>
  <si>
    <t xml:space="preserve">cantidad</t>
  </si>
  <si>
    <t xml:space="preserve">precio_unitario_COP</t>
  </si>
  <si>
    <t xml:space="preserve">vendedor</t>
  </si>
  <si>
    <t xml:space="preserve">canal_venta</t>
  </si>
  <si>
    <t xml:space="preserve">V0102</t>
  </si>
  <si>
    <t xml:space="preserve">Ana Morales</t>
  </si>
  <si>
    <t xml:space="preserve">Tienda Física</t>
  </si>
  <si>
    <t xml:space="preserve">V0121</t>
  </si>
  <si>
    <t xml:space="preserve">Pedro Ramos</t>
  </si>
  <si>
    <t xml:space="preserve">Feria Artesanal</t>
  </si>
  <si>
    <t xml:space="preserve">V0096</t>
  </si>
  <si>
    <t xml:space="preserve">Marketplace</t>
  </si>
  <si>
    <t xml:space="preserve">V0052</t>
  </si>
  <si>
    <t xml:space="preserve">Carlos Suárez</t>
  </si>
  <si>
    <t xml:space="preserve">V0164</t>
  </si>
  <si>
    <t xml:space="preserve">V0193</t>
  </si>
  <si>
    <t xml:space="preserve">María Hernández</t>
  </si>
  <si>
    <t xml:space="preserve">V0183</t>
  </si>
  <si>
    <t xml:space="preserve">V0008</t>
  </si>
  <si>
    <t xml:space="preserve">Redes Sociales</t>
  </si>
  <si>
    <t xml:space="preserve">V0029</t>
  </si>
  <si>
    <t xml:space="preserve">V0101</t>
  </si>
  <si>
    <t xml:space="preserve">V0103</t>
  </si>
  <si>
    <t xml:space="preserve">V0119</t>
  </si>
  <si>
    <t xml:space="preserve">V0012</t>
  </si>
  <si>
    <t xml:space="preserve">V0036</t>
  </si>
  <si>
    <t xml:space="preserve">V0135</t>
  </si>
  <si>
    <t xml:space="preserve">V0107</t>
  </si>
  <si>
    <t xml:space="preserve">V0075</t>
  </si>
  <si>
    <t xml:space="preserve">V0037</t>
  </si>
  <si>
    <t xml:space="preserve">V0089</t>
  </si>
  <si>
    <t xml:space="preserve">V0169</t>
  </si>
  <si>
    <t xml:space="preserve">V0174</t>
  </si>
  <si>
    <t xml:space="preserve">V0026</t>
  </si>
  <si>
    <t xml:space="preserve">V0041</t>
  </si>
  <si>
    <t xml:space="preserve">V0104</t>
  </si>
  <si>
    <t xml:space="preserve">V0111</t>
  </si>
  <si>
    <t xml:space="preserve">V0138</t>
  </si>
  <si>
    <t xml:space="preserve">V0108</t>
  </si>
  <si>
    <t xml:space="preserve">V0028</t>
  </si>
  <si>
    <t xml:space="preserve">V0086</t>
  </si>
  <si>
    <t xml:space="preserve">V0186</t>
  </si>
  <si>
    <t xml:space="preserve">V0151</t>
  </si>
  <si>
    <t xml:space="preserve">V0061</t>
  </si>
  <si>
    <t xml:space="preserve">V0070</t>
  </si>
  <si>
    <t xml:space="preserve">V0022</t>
  </si>
  <si>
    <t xml:space="preserve">V0129</t>
  </si>
  <si>
    <t xml:space="preserve">V0152</t>
  </si>
  <si>
    <t xml:space="preserve">V0015</t>
  </si>
  <si>
    <t xml:space="preserve">V0031</t>
  </si>
  <si>
    <t xml:space="preserve">V0005</t>
  </si>
  <si>
    <t xml:space="preserve">V0020</t>
  </si>
  <si>
    <t xml:space="preserve">V0045</t>
  </si>
  <si>
    <t xml:space="preserve">V0016</t>
  </si>
  <si>
    <t xml:space="preserve">V0043</t>
  </si>
  <si>
    <t xml:space="preserve">V0034</t>
  </si>
  <si>
    <t xml:space="preserve">V0063</t>
  </si>
  <si>
    <t xml:space="preserve">V0160</t>
  </si>
  <si>
    <t xml:space="preserve">V0080</t>
  </si>
  <si>
    <t xml:space="preserve">V0136</t>
  </si>
  <si>
    <t xml:space="preserve">V0055</t>
  </si>
  <si>
    <t xml:space="preserve">V0087</t>
  </si>
  <si>
    <t xml:space="preserve">V0110</t>
  </si>
  <si>
    <t xml:space="preserve">V0010</t>
  </si>
  <si>
    <t xml:space="preserve">V0167</t>
  </si>
  <si>
    <t xml:space="preserve">V0175</t>
  </si>
  <si>
    <t xml:space="preserve">V0069</t>
  </si>
  <si>
    <t xml:space="preserve">V0150</t>
  </si>
  <si>
    <t xml:space="preserve">V0025</t>
  </si>
  <si>
    <t xml:space="preserve">V0033</t>
  </si>
  <si>
    <t xml:space="preserve">V0066</t>
  </si>
  <si>
    <t xml:space="preserve">V0133</t>
  </si>
  <si>
    <t xml:space="preserve">V0161</t>
  </si>
  <si>
    <t xml:space="preserve">V0127</t>
  </si>
  <si>
    <t xml:space="preserve">V0011</t>
  </si>
  <si>
    <t xml:space="preserve">V0067</t>
  </si>
  <si>
    <t xml:space="preserve">V0092</t>
  </si>
  <si>
    <t xml:space="preserve">V0157</t>
  </si>
  <si>
    <t xml:space="preserve">V0014</t>
  </si>
  <si>
    <t xml:space="preserve">V0051</t>
  </si>
  <si>
    <t xml:space="preserve">V0085</t>
  </si>
  <si>
    <t xml:space="preserve">V0189</t>
  </si>
  <si>
    <t xml:space="preserve">V0057</t>
  </si>
  <si>
    <t xml:space="preserve">V0019</t>
  </si>
  <si>
    <t xml:space="preserve">V0046</t>
  </si>
  <si>
    <t xml:space="preserve">V0131</t>
  </si>
  <si>
    <t xml:space="preserve">V0078</t>
  </si>
  <si>
    <t xml:space="preserve">V0145</t>
  </si>
  <si>
    <t xml:space="preserve">V0047</t>
  </si>
  <si>
    <t xml:space="preserve">V0073</t>
  </si>
  <si>
    <t xml:space="preserve">V0094</t>
  </si>
  <si>
    <t xml:space="preserve">V0192</t>
  </si>
  <si>
    <t xml:space="preserve">V0004</t>
  </si>
  <si>
    <t xml:space="preserve">V0065</t>
  </si>
  <si>
    <t xml:space="preserve">V0179</t>
  </si>
  <si>
    <t xml:space="preserve">V0199</t>
  </si>
  <si>
    <t xml:space="preserve">V0141</t>
  </si>
  <si>
    <t xml:space="preserve">V0122</t>
  </si>
  <si>
    <t xml:space="preserve">V0181</t>
  </si>
  <si>
    <t xml:space="preserve">V0100</t>
  </si>
  <si>
    <t xml:space="preserve">V0140</t>
  </si>
  <si>
    <t xml:space="preserve">V0125</t>
  </si>
  <si>
    <t xml:space="preserve">V0088</t>
  </si>
  <si>
    <t xml:space="preserve">V0105</t>
  </si>
  <si>
    <t xml:space="preserve">V0021</t>
  </si>
  <si>
    <t xml:space="preserve">V0050</t>
  </si>
  <si>
    <t xml:space="preserve">V0013</t>
  </si>
  <si>
    <t xml:space="preserve">V0117</t>
  </si>
  <si>
    <t xml:space="preserve">V0195</t>
  </si>
  <si>
    <t xml:space="preserve">V0093</t>
  </si>
  <si>
    <t xml:space="preserve">V0144</t>
  </si>
  <si>
    <t xml:space="preserve">V0176</t>
  </si>
  <si>
    <t xml:space="preserve">V0185</t>
  </si>
  <si>
    <t xml:space="preserve">V0030</t>
  </si>
  <si>
    <t xml:space="preserve">V0146</t>
  </si>
  <si>
    <t xml:space="preserve">V0187</t>
  </si>
  <si>
    <t xml:space="preserve">V0198</t>
  </si>
  <si>
    <t xml:space="preserve">V0196</t>
  </si>
  <si>
    <t xml:space="preserve">V0172</t>
  </si>
  <si>
    <t xml:space="preserve">V0188</t>
  </si>
  <si>
    <t xml:space="preserve">V0077</t>
  </si>
  <si>
    <t xml:space="preserve">V0006</t>
  </si>
  <si>
    <t xml:space="preserve">V0097</t>
  </si>
  <si>
    <t xml:space="preserve">V0154</t>
  </si>
  <si>
    <t xml:space="preserve">V0149</t>
  </si>
  <si>
    <t xml:space="preserve">V0007</t>
  </si>
  <si>
    <t xml:space="preserve">V0009</t>
  </si>
  <si>
    <t xml:space="preserve">V0081</t>
  </si>
  <si>
    <t xml:space="preserve">V0106</t>
  </si>
  <si>
    <t xml:space="preserve">V0128</t>
  </si>
  <si>
    <t xml:space="preserve">V0040</t>
  </si>
  <si>
    <t xml:space="preserve">V0168</t>
  </si>
  <si>
    <t xml:space="preserve">V0095</t>
  </si>
  <si>
    <t xml:space="preserve">V0124</t>
  </si>
  <si>
    <t xml:space="preserve">V0076</t>
  </si>
  <si>
    <t xml:space="preserve">V0162</t>
  </si>
  <si>
    <t xml:space="preserve">V0058</t>
  </si>
  <si>
    <t xml:space="preserve">V0090</t>
  </si>
  <si>
    <t xml:space="preserve">V0048</t>
  </si>
  <si>
    <t xml:space="preserve">V0134</t>
  </si>
  <si>
    <t xml:space="preserve">V0165</t>
  </si>
  <si>
    <t xml:space="preserve">V0178</t>
  </si>
  <si>
    <t xml:space="preserve">V0024</t>
  </si>
  <si>
    <t xml:space="preserve">V0163</t>
  </si>
  <si>
    <t xml:space="preserve">V0098</t>
  </si>
  <si>
    <t xml:space="preserve">V0130</t>
  </si>
  <si>
    <t xml:space="preserve">V0148</t>
  </si>
  <si>
    <t xml:space="preserve">V0156</t>
  </si>
  <si>
    <t xml:space="preserve">V0054</t>
  </si>
  <si>
    <t xml:space="preserve">V0017</t>
  </si>
  <si>
    <t xml:space="preserve">V0064</t>
  </si>
  <si>
    <t xml:space="preserve">V0082</t>
  </si>
  <si>
    <t xml:space="preserve">V0109</t>
  </si>
  <si>
    <t xml:space="preserve">V0115</t>
  </si>
  <si>
    <t xml:space="preserve">V0072</t>
  </si>
  <si>
    <t xml:space="preserve">V0126</t>
  </si>
  <si>
    <t xml:space="preserve">V0139</t>
  </si>
  <si>
    <t xml:space="preserve">V0035</t>
  </si>
  <si>
    <t xml:space="preserve">V0120</t>
  </si>
  <si>
    <t xml:space="preserve">V0182</t>
  </si>
  <si>
    <t xml:space="preserve">V0042</t>
  </si>
  <si>
    <t xml:space="preserve">V0071</t>
  </si>
  <si>
    <t xml:space="preserve">V0194</t>
  </si>
  <si>
    <t xml:space="preserve">V0056</t>
  </si>
  <si>
    <t xml:space="preserve">V0197</t>
  </si>
  <si>
    <t xml:space="preserve">V0166</t>
  </si>
  <si>
    <t xml:space="preserve">V0132</t>
  </si>
  <si>
    <t xml:space="preserve">V0074</t>
  </si>
  <si>
    <t xml:space="preserve">V0118</t>
  </si>
  <si>
    <t xml:space="preserve">V0002</t>
  </si>
  <si>
    <t xml:space="preserve">V0049</t>
  </si>
  <si>
    <t xml:space="preserve">V0032</t>
  </si>
  <si>
    <t xml:space="preserve">V0044</t>
  </si>
  <si>
    <t xml:space="preserve">V0123</t>
  </si>
  <si>
    <t xml:space="preserve">V0158</t>
  </si>
  <si>
    <t xml:space="preserve">V0147</t>
  </si>
  <si>
    <t xml:space="preserve">V0170</t>
  </si>
  <si>
    <t xml:space="preserve">V0003</t>
  </si>
  <si>
    <t xml:space="preserve">V0039</t>
  </si>
  <si>
    <t xml:space="preserve">V0038</t>
  </si>
  <si>
    <t xml:space="preserve">V0027</t>
  </si>
  <si>
    <t xml:space="preserve">V0184</t>
  </si>
  <si>
    <t xml:space="preserve">V0059</t>
  </si>
  <si>
    <t xml:space="preserve">V0114</t>
  </si>
  <si>
    <t xml:space="preserve">V0137</t>
  </si>
  <si>
    <t xml:space="preserve">V0091</t>
  </si>
  <si>
    <t xml:space="preserve">V0159</t>
  </si>
  <si>
    <t xml:space="preserve">V0113</t>
  </si>
  <si>
    <t xml:space="preserve">V0171</t>
  </si>
  <si>
    <t xml:space="preserve">V0180</t>
  </si>
  <si>
    <t xml:space="preserve">V0023</t>
  </si>
  <si>
    <t xml:space="preserve">V0142</t>
  </si>
  <si>
    <t xml:space="preserve">V0177</t>
  </si>
  <si>
    <t xml:space="preserve">V0079</t>
  </si>
  <si>
    <t xml:space="preserve">V0084</t>
  </si>
  <si>
    <t xml:space="preserve">V0190</t>
  </si>
  <si>
    <t xml:space="preserve">V0191</t>
  </si>
  <si>
    <t xml:space="preserve">V0001</t>
  </si>
  <si>
    <t xml:space="preserve">V0018</t>
  </si>
  <si>
    <t xml:space="preserve">V0143</t>
  </si>
  <si>
    <t xml:space="preserve">V0083</t>
  </si>
  <si>
    <t xml:space="preserve">V0153</t>
  </si>
  <si>
    <t xml:space="preserve">V0200</t>
  </si>
  <si>
    <t xml:space="preserve">V0060</t>
  </si>
  <si>
    <t xml:space="preserve">V0155</t>
  </si>
  <si>
    <t xml:space="preserve">V0099</t>
  </si>
  <si>
    <t xml:space="preserve">V0112</t>
  </si>
  <si>
    <t xml:space="preserve">V0116</t>
  </si>
  <si>
    <t xml:space="preserve">V0173</t>
  </si>
  <si>
    <t xml:space="preserve">V0062</t>
  </si>
  <si>
    <t xml:space="preserve">V0068</t>
  </si>
  <si>
    <t xml:space="preserve">V0053</t>
  </si>
  <si>
    <t xml:space="preserve">RESUMEN EJECUTIVO – LA RUANA DE MI PUEBLO (Oct 2025 – Mar 2026)</t>
  </si>
  <si>
    <t xml:space="preserve">MÉTRICAS CLAVE</t>
  </si>
  <si>
    <t xml:space="preserve">Total Registros de Venta</t>
  </si>
  <si>
    <t xml:space="preserve">Total Unidades Vendidas</t>
  </si>
  <si>
    <t xml:space="preserve">Ingresos Totales (COP)</t>
  </si>
  <si>
    <t xml:space="preserve">Ticket Promedio (COP)</t>
  </si>
  <si>
    <t xml:space="preserve">Productos en Catálogo</t>
  </si>
  <si>
    <t xml:space="preserve">Productos Stock Crítico</t>
  </si>
  <si>
    <t xml:space="preserve">INGRESOS POR MES (COP)</t>
  </si>
  <si>
    <t xml:space="preserve">Oct-2025</t>
  </si>
  <si>
    <t xml:space="preserve">Nov-2025</t>
  </si>
  <si>
    <t xml:space="preserve">Dic-2025</t>
  </si>
  <si>
    <t xml:space="preserve">Ene-2026</t>
  </si>
  <si>
    <t xml:space="preserve">Feb-2026</t>
  </si>
  <si>
    <t xml:space="preserve">Mar-2026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</si>
</sst>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dd/mm/yyyy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EAF0FB"/>
      </patternFill>
    </fill>
    <fill>
      <patternFill patternType="solid">
        <fgColor rgb="FFEAF0FB"/>
        <bgColor rgb="FFFFFFFF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0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45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  <c r="C3" s="3" t="s">
        <v>6</v>
      </c>
    </row>
    <row r="4" customFormat="false" ht="15" hidden="false" customHeight="false" outlineLevel="0" collapsed="false">
      <c r="A4" s="4" t="s">
        <v>7</v>
      </c>
      <c r="B4" s="4" t="s">
        <v>8</v>
      </c>
      <c r="C4" s="4" t="s">
        <v>9</v>
      </c>
    </row>
    <row r="5" customFormat="false" ht="15" hidden="false" customHeight="false" outlineLevel="0" collapsed="false">
      <c r="A5" s="3" t="s">
        <v>10</v>
      </c>
      <c r="B5" s="3" t="s">
        <v>11</v>
      </c>
      <c r="C5" s="3" t="s">
        <v>12</v>
      </c>
    </row>
    <row r="6" customFormat="false" ht="15" hidden="false" customHeight="false" outlineLevel="0" collapsed="false">
      <c r="A6" s="4" t="s">
        <v>13</v>
      </c>
      <c r="B6" s="4" t="s">
        <v>14</v>
      </c>
      <c r="C6" s="4" t="s">
        <v>15</v>
      </c>
    </row>
    <row r="7" customFormat="false" ht="15" hidden="false" customHeight="false" outlineLevel="0" collapsed="false">
      <c r="A7" s="3" t="s">
        <v>16</v>
      </c>
      <c r="B7" s="3" t="s">
        <v>17</v>
      </c>
      <c r="C7" s="3" t="s">
        <v>18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2" t="s">
        <v>20</v>
      </c>
      <c r="B2" s="2" t="s">
        <v>21</v>
      </c>
      <c r="C2" s="2" t="s">
        <v>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</row>
    <row r="3" customFormat="false" ht="15" hidden="false" customHeight="false" outlineLevel="0" collapsed="false">
      <c r="A3" s="3" t="s">
        <v>27</v>
      </c>
      <c r="B3" s="3" t="s">
        <v>28</v>
      </c>
      <c r="C3" s="3" t="s">
        <v>4</v>
      </c>
      <c r="D3" s="5" t="n">
        <v>78000</v>
      </c>
      <c r="E3" s="5" t="n">
        <v>140000</v>
      </c>
      <c r="F3" s="3" t="n">
        <v>18</v>
      </c>
      <c r="G3" s="3" t="n">
        <v>5</v>
      </c>
      <c r="H3" s="3" t="s">
        <v>29</v>
      </c>
    </row>
    <row r="4" customFormat="false" ht="15" hidden="false" customHeight="false" outlineLevel="0" collapsed="false">
      <c r="A4" s="4" t="s">
        <v>30</v>
      </c>
      <c r="B4" s="4" t="s">
        <v>31</v>
      </c>
      <c r="C4" s="4" t="s">
        <v>4</v>
      </c>
      <c r="D4" s="6" t="n">
        <v>92000</v>
      </c>
      <c r="E4" s="6" t="n">
        <v>165000</v>
      </c>
      <c r="F4" s="4" t="n">
        <v>14</v>
      </c>
      <c r="G4" s="4" t="n">
        <v>5</v>
      </c>
      <c r="H4" s="4" t="s">
        <v>29</v>
      </c>
    </row>
    <row r="5" customFormat="false" ht="15" hidden="false" customHeight="false" outlineLevel="0" collapsed="false">
      <c r="A5" s="3" t="s">
        <v>32</v>
      </c>
      <c r="B5" s="3" t="s">
        <v>33</v>
      </c>
      <c r="C5" s="3" t="s">
        <v>4</v>
      </c>
      <c r="D5" s="5" t="n">
        <v>105000</v>
      </c>
      <c r="E5" s="5" t="n">
        <v>190000</v>
      </c>
      <c r="F5" s="3" t="n">
        <v>12</v>
      </c>
      <c r="G5" s="3" t="n">
        <v>5</v>
      </c>
      <c r="H5" s="3" t="s">
        <v>29</v>
      </c>
    </row>
    <row r="6" customFormat="false" ht="15" hidden="false" customHeight="false" outlineLevel="0" collapsed="false">
      <c r="A6" s="4" t="s">
        <v>34</v>
      </c>
      <c r="B6" s="4" t="s">
        <v>35</v>
      </c>
      <c r="C6" s="4" t="s">
        <v>4</v>
      </c>
      <c r="D6" s="6" t="n">
        <v>98000</v>
      </c>
      <c r="E6" s="6" t="n">
        <v>175000</v>
      </c>
      <c r="F6" s="4" t="n">
        <v>10</v>
      </c>
      <c r="G6" s="4" t="n">
        <v>4</v>
      </c>
      <c r="H6" s="4" t="s">
        <v>36</v>
      </c>
    </row>
    <row r="7" customFormat="false" ht="15" hidden="false" customHeight="false" outlineLevel="0" collapsed="false">
      <c r="A7" s="3" t="s">
        <v>37</v>
      </c>
      <c r="B7" s="3" t="s">
        <v>38</v>
      </c>
      <c r="C7" s="3" t="s">
        <v>4</v>
      </c>
      <c r="D7" s="5" t="n">
        <v>88000</v>
      </c>
      <c r="E7" s="5" t="n">
        <v>160000</v>
      </c>
      <c r="F7" s="3" t="n">
        <v>16</v>
      </c>
      <c r="G7" s="3" t="n">
        <v>5</v>
      </c>
      <c r="H7" s="3" t="s">
        <v>36</v>
      </c>
    </row>
    <row r="8" customFormat="false" ht="15" hidden="false" customHeight="false" outlineLevel="0" collapsed="false">
      <c r="A8" s="4" t="s">
        <v>39</v>
      </c>
      <c r="B8" s="4" t="s">
        <v>40</v>
      </c>
      <c r="C8" s="4" t="s">
        <v>7</v>
      </c>
      <c r="D8" s="6" t="n">
        <v>148000</v>
      </c>
      <c r="E8" s="6" t="n">
        <v>265000</v>
      </c>
      <c r="F8" s="4" t="n">
        <v>8</v>
      </c>
      <c r="G8" s="4" t="n">
        <v>3</v>
      </c>
      <c r="H8" s="4" t="s">
        <v>41</v>
      </c>
    </row>
    <row r="9" customFormat="false" ht="15" hidden="false" customHeight="false" outlineLevel="0" collapsed="false">
      <c r="A9" s="3" t="s">
        <v>42</v>
      </c>
      <c r="B9" s="3" t="s">
        <v>43</v>
      </c>
      <c r="C9" s="3" t="s">
        <v>7</v>
      </c>
      <c r="D9" s="5" t="n">
        <v>155000</v>
      </c>
      <c r="E9" s="5" t="n">
        <v>280000</v>
      </c>
      <c r="F9" s="3" t="n">
        <v>7</v>
      </c>
      <c r="G9" s="3" t="n">
        <v>3</v>
      </c>
      <c r="H9" s="3" t="s">
        <v>41</v>
      </c>
    </row>
    <row r="10" customFormat="false" ht="15" hidden="false" customHeight="false" outlineLevel="0" collapsed="false">
      <c r="A10" s="4" t="s">
        <v>44</v>
      </c>
      <c r="B10" s="4" t="s">
        <v>45</v>
      </c>
      <c r="C10" s="4" t="s">
        <v>7</v>
      </c>
      <c r="D10" s="6" t="n">
        <v>210000</v>
      </c>
      <c r="E10" s="6" t="n">
        <v>380000</v>
      </c>
      <c r="F10" s="4" t="n">
        <v>5</v>
      </c>
      <c r="G10" s="4" t="n">
        <v>2</v>
      </c>
      <c r="H10" s="4" t="s">
        <v>46</v>
      </c>
    </row>
    <row r="11" customFormat="false" ht="15" hidden="false" customHeight="false" outlineLevel="0" collapsed="false">
      <c r="A11" s="3" t="s">
        <v>47</v>
      </c>
      <c r="B11" s="3" t="s">
        <v>48</v>
      </c>
      <c r="C11" s="3" t="s">
        <v>7</v>
      </c>
      <c r="D11" s="5" t="n">
        <v>230000</v>
      </c>
      <c r="E11" s="5" t="n">
        <v>420000</v>
      </c>
      <c r="F11" s="3" t="n">
        <v>4</v>
      </c>
      <c r="G11" s="3" t="n">
        <v>2</v>
      </c>
      <c r="H11" s="3" t="s">
        <v>29</v>
      </c>
    </row>
    <row r="12" customFormat="false" ht="15" hidden="false" customHeight="false" outlineLevel="0" collapsed="false">
      <c r="A12" s="4" t="s">
        <v>49</v>
      </c>
      <c r="B12" s="4" t="s">
        <v>50</v>
      </c>
      <c r="C12" s="4" t="s">
        <v>10</v>
      </c>
      <c r="D12" s="6" t="n">
        <v>48000</v>
      </c>
      <c r="E12" s="6" t="n">
        <v>90000</v>
      </c>
      <c r="F12" s="4" t="n">
        <v>15</v>
      </c>
      <c r="G12" s="4" t="n">
        <v>5</v>
      </c>
      <c r="H12" s="4" t="s">
        <v>29</v>
      </c>
    </row>
    <row r="13" customFormat="false" ht="15" hidden="false" customHeight="false" outlineLevel="0" collapsed="false">
      <c r="A13" s="3" t="s">
        <v>51</v>
      </c>
      <c r="B13" s="3" t="s">
        <v>52</v>
      </c>
      <c r="C13" s="3" t="s">
        <v>10</v>
      </c>
      <c r="D13" s="5" t="n">
        <v>52000</v>
      </c>
      <c r="E13" s="5" t="n">
        <v>95000</v>
      </c>
      <c r="F13" s="3" t="n">
        <v>12</v>
      </c>
      <c r="G13" s="3" t="n">
        <v>4</v>
      </c>
      <c r="H13" s="3" t="s">
        <v>36</v>
      </c>
    </row>
    <row r="14" customFormat="false" ht="15" hidden="false" customHeight="false" outlineLevel="0" collapsed="false">
      <c r="A14" s="4" t="s">
        <v>53</v>
      </c>
      <c r="B14" s="4" t="s">
        <v>54</v>
      </c>
      <c r="C14" s="4" t="s">
        <v>10</v>
      </c>
      <c r="D14" s="6" t="n">
        <v>62000</v>
      </c>
      <c r="E14" s="6" t="n">
        <v>115000</v>
      </c>
      <c r="F14" s="4" t="n">
        <v>8</v>
      </c>
      <c r="G14" s="4" t="n">
        <v>3</v>
      </c>
      <c r="H14" s="4" t="s">
        <v>29</v>
      </c>
    </row>
    <row r="15" customFormat="false" ht="15" hidden="false" customHeight="false" outlineLevel="0" collapsed="false">
      <c r="A15" s="3" t="s">
        <v>55</v>
      </c>
      <c r="B15" s="3" t="s">
        <v>56</v>
      </c>
      <c r="C15" s="3" t="s">
        <v>13</v>
      </c>
      <c r="D15" s="5" t="n">
        <v>30000</v>
      </c>
      <c r="E15" s="5" t="n">
        <v>58000</v>
      </c>
      <c r="F15" s="3" t="n">
        <v>25</v>
      </c>
      <c r="G15" s="3" t="n">
        <v>8</v>
      </c>
      <c r="H15" s="3" t="s">
        <v>29</v>
      </c>
    </row>
    <row r="16" customFormat="false" ht="15" hidden="false" customHeight="false" outlineLevel="0" collapsed="false">
      <c r="A16" s="4" t="s">
        <v>57</v>
      </c>
      <c r="B16" s="4" t="s">
        <v>58</v>
      </c>
      <c r="C16" s="4" t="s">
        <v>13</v>
      </c>
      <c r="D16" s="6" t="n">
        <v>25000</v>
      </c>
      <c r="E16" s="6" t="n">
        <v>48000</v>
      </c>
      <c r="F16" s="4" t="n">
        <v>30</v>
      </c>
      <c r="G16" s="4" t="n">
        <v>10</v>
      </c>
      <c r="H16" s="4" t="s">
        <v>36</v>
      </c>
    </row>
    <row r="17" customFormat="false" ht="15" hidden="false" customHeight="false" outlineLevel="0" collapsed="false">
      <c r="A17" s="3" t="s">
        <v>59</v>
      </c>
      <c r="B17" s="3" t="s">
        <v>60</v>
      </c>
      <c r="C17" s="3" t="s">
        <v>13</v>
      </c>
      <c r="D17" s="5" t="n">
        <v>22000</v>
      </c>
      <c r="E17" s="5" t="n">
        <v>42000</v>
      </c>
      <c r="F17" s="3" t="n">
        <v>20</v>
      </c>
      <c r="G17" s="3" t="n">
        <v>7</v>
      </c>
      <c r="H17" s="3" t="s">
        <v>36</v>
      </c>
    </row>
    <row r="18" customFormat="false" ht="15" hidden="false" customHeight="false" outlineLevel="0" collapsed="false">
      <c r="A18" s="4" t="s">
        <v>61</v>
      </c>
      <c r="B18" s="4" t="s">
        <v>62</v>
      </c>
      <c r="C18" s="4" t="s">
        <v>13</v>
      </c>
      <c r="D18" s="6" t="n">
        <v>125000</v>
      </c>
      <c r="E18" s="6" t="n">
        <v>230000</v>
      </c>
      <c r="F18" s="4" t="n">
        <v>6</v>
      </c>
      <c r="G18" s="4" t="n">
        <v>3</v>
      </c>
      <c r="H18" s="4" t="s">
        <v>29</v>
      </c>
    </row>
    <row r="19" customFormat="false" ht="15" hidden="false" customHeight="false" outlineLevel="0" collapsed="false">
      <c r="A19" s="3" t="s">
        <v>63</v>
      </c>
      <c r="B19" s="3" t="s">
        <v>64</v>
      </c>
      <c r="C19" s="3" t="s">
        <v>16</v>
      </c>
      <c r="D19" s="5" t="n">
        <v>265000</v>
      </c>
      <c r="E19" s="5" t="n">
        <v>490000</v>
      </c>
      <c r="F19" s="3" t="n">
        <v>3</v>
      </c>
      <c r="G19" s="3" t="n">
        <v>2</v>
      </c>
      <c r="H19" s="3" t="s">
        <v>65</v>
      </c>
    </row>
    <row r="20" customFormat="false" ht="15" hidden="false" customHeight="false" outlineLevel="0" collapsed="false">
      <c r="A20" s="4" t="s">
        <v>66</v>
      </c>
      <c r="B20" s="4" t="s">
        <v>67</v>
      </c>
      <c r="C20" s="4" t="s">
        <v>16</v>
      </c>
      <c r="D20" s="6" t="n">
        <v>235000</v>
      </c>
      <c r="E20" s="6" t="n">
        <v>440000</v>
      </c>
      <c r="F20" s="4" t="n">
        <v>3</v>
      </c>
      <c r="G20" s="4" t="n">
        <v>2</v>
      </c>
      <c r="H20" s="4" t="s">
        <v>65</v>
      </c>
    </row>
    <row r="21" customFormat="false" ht="15" hidden="false" customHeight="false" outlineLevel="0" collapsed="false">
      <c r="A21" s="3" t="s">
        <v>68</v>
      </c>
      <c r="B21" s="3" t="s">
        <v>69</v>
      </c>
      <c r="C21" s="3" t="s">
        <v>16</v>
      </c>
      <c r="D21" s="5" t="n">
        <v>188000</v>
      </c>
      <c r="E21" s="5" t="n">
        <v>345000</v>
      </c>
      <c r="F21" s="3" t="n">
        <v>5</v>
      </c>
      <c r="G21" s="3" t="n">
        <v>2</v>
      </c>
      <c r="H21" s="3" t="s">
        <v>29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" t="s">
        <v>70</v>
      </c>
      <c r="B1" s="1"/>
      <c r="C1" s="1"/>
      <c r="D1" s="1"/>
      <c r="E1" s="1"/>
      <c r="F1" s="1"/>
      <c r="G1" s="1"/>
    </row>
    <row r="2" customFormat="false" ht="26.85" hidden="false" customHeight="false" outlineLevel="0" collapsed="false">
      <c r="A2" s="2" t="s">
        <v>71</v>
      </c>
      <c r="B2" s="2" t="s">
        <v>72</v>
      </c>
      <c r="C2" s="2" t="s">
        <v>20</v>
      </c>
      <c r="D2" s="2" t="s">
        <v>73</v>
      </c>
      <c r="E2" s="2" t="s">
        <v>74</v>
      </c>
      <c r="F2" s="2" t="s">
        <v>75</v>
      </c>
      <c r="G2" s="2" t="s">
        <v>76</v>
      </c>
    </row>
    <row r="3" customFormat="false" ht="15" hidden="false" customHeight="false" outlineLevel="0" collapsed="false">
      <c r="A3" s="3" t="s">
        <v>77</v>
      </c>
      <c r="B3" s="7" t="n">
        <v>45934</v>
      </c>
      <c r="C3" s="3" t="s">
        <v>42</v>
      </c>
      <c r="D3" s="3" t="n">
        <v>4</v>
      </c>
      <c r="E3" s="5" t="n">
        <v>7</v>
      </c>
      <c r="F3" s="3" t="s">
        <v>78</v>
      </c>
      <c r="G3" s="3" t="s">
        <v>79</v>
      </c>
    </row>
    <row r="4" customFormat="false" ht="15" hidden="false" customHeight="false" outlineLevel="0" collapsed="false">
      <c r="A4" s="4" t="s">
        <v>80</v>
      </c>
      <c r="B4" s="8" t="n">
        <v>45934</v>
      </c>
      <c r="C4" s="4" t="s">
        <v>27</v>
      </c>
      <c r="D4" s="4" t="n">
        <v>1</v>
      </c>
      <c r="E4" s="6" t="n">
        <v>18</v>
      </c>
      <c r="F4" s="4" t="s">
        <v>81</v>
      </c>
      <c r="G4" s="4" t="s">
        <v>82</v>
      </c>
    </row>
    <row r="5" customFormat="false" ht="15" hidden="false" customHeight="false" outlineLevel="0" collapsed="false">
      <c r="A5" s="3" t="s">
        <v>83</v>
      </c>
      <c r="B5" s="7" t="n">
        <v>45935</v>
      </c>
      <c r="C5" s="3" t="s">
        <v>32</v>
      </c>
      <c r="D5" s="3" t="n">
        <v>2</v>
      </c>
      <c r="E5" s="5" t="n">
        <v>12</v>
      </c>
      <c r="F5" s="3" t="s">
        <v>78</v>
      </c>
      <c r="G5" s="3" t="s">
        <v>84</v>
      </c>
    </row>
    <row r="6" customFormat="false" ht="15" hidden="false" customHeight="false" outlineLevel="0" collapsed="false">
      <c r="A6" s="4" t="s">
        <v>85</v>
      </c>
      <c r="B6" s="8" t="n">
        <v>45937</v>
      </c>
      <c r="C6" s="4" t="s">
        <v>61</v>
      </c>
      <c r="D6" s="4" t="n">
        <v>4</v>
      </c>
      <c r="E6" s="6" t="n">
        <v>6</v>
      </c>
      <c r="F6" s="4" t="s">
        <v>86</v>
      </c>
      <c r="G6" s="4" t="s">
        <v>79</v>
      </c>
    </row>
    <row r="7" customFormat="false" ht="15" hidden="false" customHeight="false" outlineLevel="0" collapsed="false">
      <c r="A7" s="3" t="s">
        <v>87</v>
      </c>
      <c r="B7" s="7" t="n">
        <v>45938</v>
      </c>
      <c r="C7" s="3" t="s">
        <v>42</v>
      </c>
      <c r="D7" s="3" t="n">
        <v>4</v>
      </c>
      <c r="E7" s="5" t="n">
        <v>7</v>
      </c>
      <c r="F7" s="3" t="s">
        <v>81</v>
      </c>
      <c r="G7" s="3" t="s">
        <v>84</v>
      </c>
    </row>
    <row r="8" customFormat="false" ht="15" hidden="false" customHeight="false" outlineLevel="0" collapsed="false">
      <c r="A8" s="4" t="s">
        <v>88</v>
      </c>
      <c r="B8" s="8" t="n">
        <v>45940</v>
      </c>
      <c r="C8" s="4" t="s">
        <v>57</v>
      </c>
      <c r="D8" s="4" t="n">
        <v>1</v>
      </c>
      <c r="E8" s="6" t="n">
        <v>30</v>
      </c>
      <c r="F8" s="4" t="s">
        <v>89</v>
      </c>
      <c r="G8" s="4" t="s">
        <v>84</v>
      </c>
    </row>
    <row r="9" customFormat="false" ht="15" hidden="false" customHeight="false" outlineLevel="0" collapsed="false">
      <c r="A9" s="3" t="s">
        <v>90</v>
      </c>
      <c r="B9" s="7" t="n">
        <v>45941</v>
      </c>
      <c r="C9" s="3" t="s">
        <v>39</v>
      </c>
      <c r="D9" s="3" t="n">
        <v>1</v>
      </c>
      <c r="E9" s="5" t="n">
        <v>8</v>
      </c>
      <c r="F9" s="3" t="s">
        <v>78</v>
      </c>
      <c r="G9" s="3" t="s">
        <v>84</v>
      </c>
    </row>
    <row r="10" customFormat="false" ht="15" hidden="false" customHeight="false" outlineLevel="0" collapsed="false">
      <c r="A10" s="4" t="s">
        <v>91</v>
      </c>
      <c r="B10" s="8" t="n">
        <v>45942</v>
      </c>
      <c r="C10" s="4" t="s">
        <v>55</v>
      </c>
      <c r="D10" s="4" t="n">
        <v>1</v>
      </c>
      <c r="E10" s="6" t="n">
        <v>25</v>
      </c>
      <c r="F10" s="4" t="s">
        <v>86</v>
      </c>
      <c r="G10" s="4" t="s">
        <v>92</v>
      </c>
    </row>
    <row r="11" customFormat="false" ht="15" hidden="false" customHeight="false" outlineLevel="0" collapsed="false">
      <c r="A11" s="3" t="s">
        <v>93</v>
      </c>
      <c r="B11" s="7" t="n">
        <v>45944</v>
      </c>
      <c r="C11" s="3" t="s">
        <v>68</v>
      </c>
      <c r="D11" s="3" t="n">
        <v>1</v>
      </c>
      <c r="E11" s="5" t="n">
        <v>5</v>
      </c>
      <c r="F11" s="3" t="s">
        <v>89</v>
      </c>
      <c r="G11" s="3" t="s">
        <v>79</v>
      </c>
    </row>
    <row r="12" customFormat="false" ht="15" hidden="false" customHeight="false" outlineLevel="0" collapsed="false">
      <c r="A12" s="4" t="s">
        <v>94</v>
      </c>
      <c r="B12" s="8" t="n">
        <v>45944</v>
      </c>
      <c r="C12" s="4" t="s">
        <v>53</v>
      </c>
      <c r="D12" s="4" t="n">
        <v>2</v>
      </c>
      <c r="E12" s="6" t="n">
        <v>8</v>
      </c>
      <c r="F12" s="4" t="s">
        <v>81</v>
      </c>
      <c r="G12" s="4" t="s">
        <v>79</v>
      </c>
    </row>
    <row r="13" customFormat="false" ht="15" hidden="false" customHeight="false" outlineLevel="0" collapsed="false">
      <c r="A13" s="3" t="s">
        <v>95</v>
      </c>
      <c r="B13" s="7" t="n">
        <v>45944</v>
      </c>
      <c r="C13" s="3" t="s">
        <v>57</v>
      </c>
      <c r="D13" s="3" t="n">
        <v>1</v>
      </c>
      <c r="E13" s="5" t="n">
        <v>30</v>
      </c>
      <c r="F13" s="3" t="s">
        <v>89</v>
      </c>
      <c r="G13" s="3" t="s">
        <v>79</v>
      </c>
    </row>
    <row r="14" customFormat="false" ht="15" hidden="false" customHeight="false" outlineLevel="0" collapsed="false">
      <c r="A14" s="4" t="s">
        <v>96</v>
      </c>
      <c r="B14" s="8" t="n">
        <v>45944</v>
      </c>
      <c r="C14" s="4" t="s">
        <v>47</v>
      </c>
      <c r="D14" s="4" t="n">
        <v>3</v>
      </c>
      <c r="E14" s="6" t="n">
        <v>4</v>
      </c>
      <c r="F14" s="4" t="s">
        <v>81</v>
      </c>
      <c r="G14" s="4" t="s">
        <v>92</v>
      </c>
    </row>
    <row r="15" customFormat="false" ht="15" hidden="false" customHeight="false" outlineLevel="0" collapsed="false">
      <c r="A15" s="3" t="s">
        <v>97</v>
      </c>
      <c r="B15" s="7" t="n">
        <v>45945</v>
      </c>
      <c r="C15" s="3" t="s">
        <v>27</v>
      </c>
      <c r="D15" s="3" t="n">
        <v>3</v>
      </c>
      <c r="E15" s="5" t="n">
        <v>18</v>
      </c>
      <c r="F15" s="3" t="s">
        <v>81</v>
      </c>
      <c r="G15" s="3" t="s">
        <v>79</v>
      </c>
    </row>
    <row r="16" customFormat="false" ht="15" hidden="false" customHeight="false" outlineLevel="0" collapsed="false">
      <c r="A16" s="4" t="s">
        <v>98</v>
      </c>
      <c r="B16" s="8" t="n">
        <v>45945</v>
      </c>
      <c r="C16" s="4" t="s">
        <v>42</v>
      </c>
      <c r="D16" s="4" t="n">
        <v>2</v>
      </c>
      <c r="E16" s="6" t="n">
        <v>7</v>
      </c>
      <c r="F16" s="4" t="s">
        <v>89</v>
      </c>
      <c r="G16" s="4" t="s">
        <v>82</v>
      </c>
    </row>
    <row r="17" customFormat="false" ht="15" hidden="false" customHeight="false" outlineLevel="0" collapsed="false">
      <c r="A17" s="3" t="s">
        <v>99</v>
      </c>
      <c r="B17" s="7" t="n">
        <v>45945</v>
      </c>
      <c r="C17" s="3" t="s">
        <v>37</v>
      </c>
      <c r="D17" s="3" t="n">
        <v>2</v>
      </c>
      <c r="E17" s="5" t="n">
        <v>16</v>
      </c>
      <c r="F17" s="3" t="s">
        <v>86</v>
      </c>
      <c r="G17" s="3" t="s">
        <v>84</v>
      </c>
    </row>
    <row r="18" customFormat="false" ht="15" hidden="false" customHeight="false" outlineLevel="0" collapsed="false">
      <c r="A18" s="4" t="s">
        <v>100</v>
      </c>
      <c r="B18" s="8" t="n">
        <v>45946</v>
      </c>
      <c r="C18" s="4" t="s">
        <v>55</v>
      </c>
      <c r="D18" s="4" t="n">
        <v>2</v>
      </c>
      <c r="E18" s="6" t="n">
        <v>25</v>
      </c>
      <c r="F18" s="4" t="s">
        <v>86</v>
      </c>
      <c r="G18" s="4" t="s">
        <v>79</v>
      </c>
    </row>
    <row r="19" customFormat="false" ht="15" hidden="false" customHeight="false" outlineLevel="0" collapsed="false">
      <c r="A19" s="3" t="s">
        <v>101</v>
      </c>
      <c r="B19" s="7" t="n">
        <v>45947</v>
      </c>
      <c r="C19" s="3" t="s">
        <v>34</v>
      </c>
      <c r="D19" s="3" t="n">
        <v>4</v>
      </c>
      <c r="E19" s="5" t="n">
        <v>10</v>
      </c>
      <c r="F19" s="3" t="s">
        <v>81</v>
      </c>
      <c r="G19" s="3" t="s">
        <v>79</v>
      </c>
    </row>
    <row r="20" customFormat="false" ht="15" hidden="false" customHeight="false" outlineLevel="0" collapsed="false">
      <c r="A20" s="4" t="s">
        <v>102</v>
      </c>
      <c r="B20" s="8" t="n">
        <v>45948</v>
      </c>
      <c r="C20" s="4" t="s">
        <v>51</v>
      </c>
      <c r="D20" s="4" t="n">
        <v>2</v>
      </c>
      <c r="E20" s="6" t="n">
        <v>12</v>
      </c>
      <c r="F20" s="4" t="s">
        <v>81</v>
      </c>
      <c r="G20" s="4" t="s">
        <v>79</v>
      </c>
    </row>
    <row r="21" customFormat="false" ht="15" hidden="false" customHeight="false" outlineLevel="0" collapsed="false">
      <c r="A21" s="3" t="s">
        <v>103</v>
      </c>
      <c r="B21" s="7" t="n">
        <v>45948</v>
      </c>
      <c r="C21" s="3" t="s">
        <v>34</v>
      </c>
      <c r="D21" s="3" t="n">
        <v>4</v>
      </c>
      <c r="E21" s="5" t="n">
        <v>10</v>
      </c>
      <c r="F21" s="3" t="s">
        <v>81</v>
      </c>
      <c r="G21" s="3" t="s">
        <v>79</v>
      </c>
    </row>
    <row r="22" customFormat="false" ht="15" hidden="false" customHeight="false" outlineLevel="0" collapsed="false">
      <c r="A22" s="4" t="s">
        <v>104</v>
      </c>
      <c r="B22" s="8" t="n">
        <v>45948</v>
      </c>
      <c r="C22" s="4" t="s">
        <v>27</v>
      </c>
      <c r="D22" s="4" t="n">
        <v>4</v>
      </c>
      <c r="E22" s="6" t="n">
        <v>18</v>
      </c>
      <c r="F22" s="4" t="s">
        <v>89</v>
      </c>
      <c r="G22" s="4" t="s">
        <v>84</v>
      </c>
    </row>
    <row r="23" customFormat="false" ht="15" hidden="false" customHeight="false" outlineLevel="0" collapsed="false">
      <c r="A23" s="3" t="s">
        <v>105</v>
      </c>
      <c r="B23" s="7" t="n">
        <v>45948</v>
      </c>
      <c r="C23" s="3" t="s">
        <v>51</v>
      </c>
      <c r="D23" s="3" t="n">
        <v>1</v>
      </c>
      <c r="E23" s="5" t="n">
        <v>12</v>
      </c>
      <c r="F23" s="3" t="s">
        <v>89</v>
      </c>
      <c r="G23" s="3" t="s">
        <v>84</v>
      </c>
    </row>
    <row r="24" customFormat="false" ht="15" hidden="false" customHeight="false" outlineLevel="0" collapsed="false">
      <c r="A24" s="4" t="s">
        <v>106</v>
      </c>
      <c r="B24" s="8" t="n">
        <v>45949</v>
      </c>
      <c r="C24" s="4" t="s">
        <v>34</v>
      </c>
      <c r="D24" s="4" t="n">
        <v>4</v>
      </c>
      <c r="E24" s="6" t="n">
        <v>10</v>
      </c>
      <c r="F24" s="4" t="s">
        <v>86</v>
      </c>
      <c r="G24" s="4" t="s">
        <v>84</v>
      </c>
    </row>
    <row r="25" customFormat="false" ht="15" hidden="false" customHeight="false" outlineLevel="0" collapsed="false">
      <c r="A25" s="3" t="s">
        <v>107</v>
      </c>
      <c r="B25" s="7" t="n">
        <v>45949</v>
      </c>
      <c r="C25" s="3" t="s">
        <v>49</v>
      </c>
      <c r="D25" s="3" t="n">
        <v>1</v>
      </c>
      <c r="E25" s="5" t="n">
        <v>15</v>
      </c>
      <c r="F25" s="3" t="s">
        <v>89</v>
      </c>
      <c r="G25" s="3" t="s">
        <v>84</v>
      </c>
    </row>
    <row r="26" customFormat="false" ht="15" hidden="false" customHeight="false" outlineLevel="0" collapsed="false">
      <c r="A26" s="4" t="s">
        <v>108</v>
      </c>
      <c r="B26" s="8" t="n">
        <v>45949</v>
      </c>
      <c r="C26" s="4" t="s">
        <v>51</v>
      </c>
      <c r="D26" s="4" t="n">
        <v>2</v>
      </c>
      <c r="E26" s="6" t="n">
        <v>12</v>
      </c>
      <c r="F26" s="4" t="s">
        <v>86</v>
      </c>
      <c r="G26" s="4" t="s">
        <v>92</v>
      </c>
    </row>
    <row r="27" customFormat="false" ht="15" hidden="false" customHeight="false" outlineLevel="0" collapsed="false">
      <c r="A27" s="3" t="s">
        <v>109</v>
      </c>
      <c r="B27" s="7" t="n">
        <v>45949</v>
      </c>
      <c r="C27" s="3" t="s">
        <v>55</v>
      </c>
      <c r="D27" s="3" t="n">
        <v>3</v>
      </c>
      <c r="E27" s="5" t="n">
        <v>25</v>
      </c>
      <c r="F27" s="3" t="s">
        <v>81</v>
      </c>
      <c r="G27" s="3" t="s">
        <v>79</v>
      </c>
    </row>
    <row r="28" customFormat="false" ht="15" hidden="false" customHeight="false" outlineLevel="0" collapsed="false">
      <c r="A28" s="4" t="s">
        <v>110</v>
      </c>
      <c r="B28" s="8" t="n">
        <v>45949</v>
      </c>
      <c r="C28" s="4" t="s">
        <v>34</v>
      </c>
      <c r="D28" s="4" t="n">
        <v>3</v>
      </c>
      <c r="E28" s="6" t="n">
        <v>10</v>
      </c>
      <c r="F28" s="4" t="s">
        <v>81</v>
      </c>
      <c r="G28" s="4" t="s">
        <v>84</v>
      </c>
    </row>
    <row r="29" customFormat="false" ht="15" hidden="false" customHeight="false" outlineLevel="0" collapsed="false">
      <c r="A29" s="3" t="s">
        <v>111</v>
      </c>
      <c r="B29" s="7" t="n">
        <v>45951</v>
      </c>
      <c r="C29" s="3" t="s">
        <v>30</v>
      </c>
      <c r="D29" s="3" t="n">
        <v>1</v>
      </c>
      <c r="E29" s="5" t="n">
        <v>14</v>
      </c>
      <c r="F29" s="3" t="s">
        <v>86</v>
      </c>
      <c r="G29" s="3" t="s">
        <v>79</v>
      </c>
    </row>
    <row r="30" customFormat="false" ht="15" hidden="false" customHeight="false" outlineLevel="0" collapsed="false">
      <c r="A30" s="4" t="s">
        <v>112</v>
      </c>
      <c r="B30" s="8" t="n">
        <v>45955</v>
      </c>
      <c r="C30" s="4" t="s">
        <v>37</v>
      </c>
      <c r="D30" s="4" t="n">
        <v>4</v>
      </c>
      <c r="E30" s="6" t="n">
        <v>16</v>
      </c>
      <c r="F30" s="4" t="s">
        <v>81</v>
      </c>
      <c r="G30" s="4" t="s">
        <v>92</v>
      </c>
    </row>
    <row r="31" customFormat="false" ht="15" hidden="false" customHeight="false" outlineLevel="0" collapsed="false">
      <c r="A31" s="3" t="s">
        <v>113</v>
      </c>
      <c r="B31" s="7" t="n">
        <v>45958</v>
      </c>
      <c r="C31" s="3" t="s">
        <v>61</v>
      </c>
      <c r="D31" s="3" t="n">
        <v>4</v>
      </c>
      <c r="E31" s="5" t="n">
        <v>6</v>
      </c>
      <c r="F31" s="3" t="s">
        <v>81</v>
      </c>
      <c r="G31" s="3" t="s">
        <v>82</v>
      </c>
    </row>
    <row r="32" customFormat="false" ht="15" hidden="false" customHeight="false" outlineLevel="0" collapsed="false">
      <c r="A32" s="4" t="s">
        <v>114</v>
      </c>
      <c r="B32" s="8" t="n">
        <v>45958</v>
      </c>
      <c r="C32" s="4" t="s">
        <v>49</v>
      </c>
      <c r="D32" s="4" t="n">
        <v>1</v>
      </c>
      <c r="E32" s="6" t="n">
        <v>15</v>
      </c>
      <c r="F32" s="4" t="s">
        <v>81</v>
      </c>
      <c r="G32" s="4" t="s">
        <v>92</v>
      </c>
    </row>
    <row r="33" customFormat="false" ht="15" hidden="false" customHeight="false" outlineLevel="0" collapsed="false">
      <c r="A33" s="3" t="s">
        <v>115</v>
      </c>
      <c r="B33" s="7" t="n">
        <v>45960</v>
      </c>
      <c r="C33" s="3" t="s">
        <v>63</v>
      </c>
      <c r="D33" s="3" t="n">
        <v>3</v>
      </c>
      <c r="E33" s="5" t="n">
        <v>3</v>
      </c>
      <c r="F33" s="3" t="s">
        <v>81</v>
      </c>
      <c r="G33" s="3" t="s">
        <v>79</v>
      </c>
    </row>
    <row r="34" customFormat="false" ht="15" hidden="false" customHeight="false" outlineLevel="0" collapsed="false">
      <c r="A34" s="4" t="s">
        <v>116</v>
      </c>
      <c r="B34" s="8" t="n">
        <v>45962</v>
      </c>
      <c r="C34" s="4" t="s">
        <v>34</v>
      </c>
      <c r="D34" s="4" t="n">
        <v>3</v>
      </c>
      <c r="E34" s="6" t="n">
        <v>10</v>
      </c>
      <c r="F34" s="4" t="s">
        <v>81</v>
      </c>
      <c r="G34" s="4" t="s">
        <v>79</v>
      </c>
    </row>
    <row r="35" customFormat="false" ht="15" hidden="false" customHeight="false" outlineLevel="0" collapsed="false">
      <c r="A35" s="3" t="s">
        <v>117</v>
      </c>
      <c r="B35" s="7" t="n">
        <v>45962</v>
      </c>
      <c r="C35" s="3" t="s">
        <v>57</v>
      </c>
      <c r="D35" s="3" t="n">
        <v>3</v>
      </c>
      <c r="E35" s="5" t="n">
        <v>30</v>
      </c>
      <c r="F35" s="3" t="s">
        <v>81</v>
      </c>
      <c r="G35" s="3" t="s">
        <v>84</v>
      </c>
    </row>
    <row r="36" customFormat="false" ht="15" hidden="false" customHeight="false" outlineLevel="0" collapsed="false">
      <c r="A36" s="4" t="s">
        <v>118</v>
      </c>
      <c r="B36" s="8" t="n">
        <v>45963</v>
      </c>
      <c r="C36" s="4" t="s">
        <v>63</v>
      </c>
      <c r="D36" s="4" t="n">
        <v>2</v>
      </c>
      <c r="E36" s="6" t="n">
        <v>3</v>
      </c>
      <c r="F36" s="4" t="s">
        <v>78</v>
      </c>
      <c r="G36" s="4" t="s">
        <v>84</v>
      </c>
    </row>
    <row r="37" customFormat="false" ht="15" hidden="false" customHeight="false" outlineLevel="0" collapsed="false">
      <c r="A37" s="3" t="s">
        <v>119</v>
      </c>
      <c r="B37" s="7" t="n">
        <v>45963</v>
      </c>
      <c r="C37" s="3" t="s">
        <v>49</v>
      </c>
      <c r="D37" s="3" t="n">
        <v>1</v>
      </c>
      <c r="E37" s="5" t="n">
        <v>15</v>
      </c>
      <c r="F37" s="3" t="s">
        <v>81</v>
      </c>
      <c r="G37" s="3" t="s">
        <v>79</v>
      </c>
    </row>
    <row r="38" customFormat="false" ht="15" hidden="false" customHeight="false" outlineLevel="0" collapsed="false">
      <c r="A38" s="4" t="s">
        <v>120</v>
      </c>
      <c r="B38" s="8" t="n">
        <v>45965</v>
      </c>
      <c r="C38" s="4" t="s">
        <v>37</v>
      </c>
      <c r="D38" s="4" t="n">
        <v>4</v>
      </c>
      <c r="E38" s="6" t="n">
        <v>16</v>
      </c>
      <c r="F38" s="4" t="s">
        <v>86</v>
      </c>
      <c r="G38" s="4" t="s">
        <v>92</v>
      </c>
    </row>
    <row r="39" customFormat="false" ht="15" hidden="false" customHeight="false" outlineLevel="0" collapsed="false">
      <c r="A39" s="3" t="s">
        <v>121</v>
      </c>
      <c r="B39" s="7" t="n">
        <v>45966</v>
      </c>
      <c r="C39" s="3" t="s">
        <v>27</v>
      </c>
      <c r="D39" s="3" t="n">
        <v>1</v>
      </c>
      <c r="E39" s="5" t="n">
        <v>18</v>
      </c>
      <c r="F39" s="3" t="s">
        <v>89</v>
      </c>
      <c r="G39" s="3" t="s">
        <v>79</v>
      </c>
    </row>
    <row r="40" customFormat="false" ht="15" hidden="false" customHeight="false" outlineLevel="0" collapsed="false">
      <c r="A40" s="4" t="s">
        <v>122</v>
      </c>
      <c r="B40" s="8" t="n">
        <v>45966</v>
      </c>
      <c r="C40" s="4" t="s">
        <v>34</v>
      </c>
      <c r="D40" s="4" t="n">
        <v>2</v>
      </c>
      <c r="E40" s="6" t="n">
        <v>10</v>
      </c>
      <c r="F40" s="4" t="s">
        <v>89</v>
      </c>
      <c r="G40" s="4" t="s">
        <v>79</v>
      </c>
    </row>
    <row r="41" customFormat="false" ht="15" hidden="false" customHeight="false" outlineLevel="0" collapsed="false">
      <c r="A41" s="3" t="s">
        <v>123</v>
      </c>
      <c r="B41" s="7" t="n">
        <v>45970</v>
      </c>
      <c r="C41" s="3" t="s">
        <v>55</v>
      </c>
      <c r="D41" s="3" t="n">
        <v>1</v>
      </c>
      <c r="E41" s="5" t="n">
        <v>25</v>
      </c>
      <c r="F41" s="3" t="s">
        <v>89</v>
      </c>
      <c r="G41" s="3" t="s">
        <v>79</v>
      </c>
    </row>
    <row r="42" customFormat="false" ht="15" hidden="false" customHeight="false" outlineLevel="0" collapsed="false">
      <c r="A42" s="4" t="s">
        <v>124</v>
      </c>
      <c r="B42" s="8" t="n">
        <v>45970</v>
      </c>
      <c r="C42" s="4" t="s">
        <v>30</v>
      </c>
      <c r="D42" s="4" t="n">
        <v>1</v>
      </c>
      <c r="E42" s="6" t="n">
        <v>14</v>
      </c>
      <c r="F42" s="4" t="s">
        <v>78</v>
      </c>
      <c r="G42" s="4" t="s">
        <v>79</v>
      </c>
    </row>
    <row r="43" customFormat="false" ht="15" hidden="false" customHeight="false" outlineLevel="0" collapsed="false">
      <c r="A43" s="3" t="s">
        <v>125</v>
      </c>
      <c r="B43" s="7" t="n">
        <v>45970</v>
      </c>
      <c r="C43" s="3" t="s">
        <v>49</v>
      </c>
      <c r="D43" s="3" t="n">
        <v>3</v>
      </c>
      <c r="E43" s="5" t="n">
        <v>15</v>
      </c>
      <c r="F43" s="3" t="s">
        <v>86</v>
      </c>
      <c r="G43" s="3" t="s">
        <v>84</v>
      </c>
    </row>
    <row r="44" customFormat="false" ht="15" hidden="false" customHeight="false" outlineLevel="0" collapsed="false">
      <c r="A44" s="4" t="s">
        <v>126</v>
      </c>
      <c r="B44" s="8" t="n">
        <v>45971</v>
      </c>
      <c r="C44" s="4" t="s">
        <v>39</v>
      </c>
      <c r="D44" s="4" t="n">
        <v>1</v>
      </c>
      <c r="E44" s="6" t="n">
        <v>8</v>
      </c>
      <c r="F44" s="4" t="s">
        <v>81</v>
      </c>
      <c r="G44" s="4" t="s">
        <v>79</v>
      </c>
    </row>
    <row r="45" customFormat="false" ht="15" hidden="false" customHeight="false" outlineLevel="0" collapsed="false">
      <c r="A45" s="3" t="s">
        <v>127</v>
      </c>
      <c r="B45" s="7" t="n">
        <v>45971</v>
      </c>
      <c r="C45" s="3" t="s">
        <v>47</v>
      </c>
      <c r="D45" s="3" t="n">
        <v>3</v>
      </c>
      <c r="E45" s="5" t="n">
        <v>4</v>
      </c>
      <c r="F45" s="3" t="s">
        <v>89</v>
      </c>
      <c r="G45" s="3" t="s">
        <v>84</v>
      </c>
    </row>
    <row r="46" customFormat="false" ht="15" hidden="false" customHeight="false" outlineLevel="0" collapsed="false">
      <c r="A46" s="4" t="s">
        <v>128</v>
      </c>
      <c r="B46" s="8" t="n">
        <v>45973</v>
      </c>
      <c r="C46" s="4" t="s">
        <v>68</v>
      </c>
      <c r="D46" s="4" t="n">
        <v>3</v>
      </c>
      <c r="E46" s="6" t="n">
        <v>5</v>
      </c>
      <c r="F46" s="4" t="s">
        <v>81</v>
      </c>
      <c r="G46" s="4" t="s">
        <v>79</v>
      </c>
    </row>
    <row r="47" customFormat="false" ht="15" hidden="false" customHeight="false" outlineLevel="0" collapsed="false">
      <c r="A47" s="3" t="s">
        <v>129</v>
      </c>
      <c r="B47" s="7" t="n">
        <v>45975</v>
      </c>
      <c r="C47" s="3" t="s">
        <v>34</v>
      </c>
      <c r="D47" s="3" t="n">
        <v>1</v>
      </c>
      <c r="E47" s="5" t="n">
        <v>10</v>
      </c>
      <c r="F47" s="3" t="s">
        <v>78</v>
      </c>
      <c r="G47" s="3" t="s">
        <v>79</v>
      </c>
    </row>
    <row r="48" customFormat="false" ht="15" hidden="false" customHeight="false" outlineLevel="0" collapsed="false">
      <c r="A48" s="4" t="s">
        <v>130</v>
      </c>
      <c r="B48" s="8" t="n">
        <v>45975</v>
      </c>
      <c r="C48" s="4" t="s">
        <v>59</v>
      </c>
      <c r="D48" s="4" t="n">
        <v>2</v>
      </c>
      <c r="E48" s="6" t="n">
        <v>20</v>
      </c>
      <c r="F48" s="4" t="s">
        <v>89</v>
      </c>
      <c r="G48" s="4" t="s">
        <v>79</v>
      </c>
    </row>
    <row r="49" customFormat="false" ht="15" hidden="false" customHeight="false" outlineLevel="0" collapsed="false">
      <c r="A49" s="3" t="s">
        <v>131</v>
      </c>
      <c r="B49" s="7" t="n">
        <v>45977</v>
      </c>
      <c r="C49" s="3" t="s">
        <v>37</v>
      </c>
      <c r="D49" s="3" t="n">
        <v>2</v>
      </c>
      <c r="E49" s="5" t="n">
        <v>16</v>
      </c>
      <c r="F49" s="3" t="s">
        <v>81</v>
      </c>
      <c r="G49" s="3" t="s">
        <v>79</v>
      </c>
    </row>
    <row r="50" customFormat="false" ht="15" hidden="false" customHeight="false" outlineLevel="0" collapsed="false">
      <c r="A50" s="4" t="s">
        <v>132</v>
      </c>
      <c r="B50" s="8" t="n">
        <v>45977</v>
      </c>
      <c r="C50" s="4" t="s">
        <v>27</v>
      </c>
      <c r="D50" s="4" t="n">
        <v>4</v>
      </c>
      <c r="E50" s="6" t="n">
        <v>18</v>
      </c>
      <c r="F50" s="4" t="s">
        <v>86</v>
      </c>
      <c r="G50" s="4" t="s">
        <v>79</v>
      </c>
    </row>
    <row r="51" customFormat="false" ht="15" hidden="false" customHeight="false" outlineLevel="0" collapsed="false">
      <c r="A51" s="3" t="s">
        <v>133</v>
      </c>
      <c r="B51" s="7" t="n">
        <v>45980</v>
      </c>
      <c r="C51" s="3" t="s">
        <v>34</v>
      </c>
      <c r="D51" s="3" t="n">
        <v>1</v>
      </c>
      <c r="E51" s="5" t="n">
        <v>10</v>
      </c>
      <c r="F51" s="3" t="s">
        <v>78</v>
      </c>
      <c r="G51" s="3" t="s">
        <v>79</v>
      </c>
    </row>
    <row r="52" customFormat="false" ht="15" hidden="false" customHeight="false" outlineLevel="0" collapsed="false">
      <c r="A52" s="4" t="s">
        <v>134</v>
      </c>
      <c r="B52" s="8" t="n">
        <v>45981</v>
      </c>
      <c r="C52" s="4" t="s">
        <v>53</v>
      </c>
      <c r="D52" s="4" t="n">
        <v>2</v>
      </c>
      <c r="E52" s="6" t="n">
        <v>8</v>
      </c>
      <c r="F52" s="4" t="s">
        <v>89</v>
      </c>
      <c r="G52" s="4" t="s">
        <v>84</v>
      </c>
    </row>
    <row r="53" customFormat="false" ht="15" hidden="false" customHeight="false" outlineLevel="0" collapsed="false">
      <c r="A53" s="3" t="s">
        <v>135</v>
      </c>
      <c r="B53" s="7" t="n">
        <v>45981</v>
      </c>
      <c r="C53" s="3" t="s">
        <v>47</v>
      </c>
      <c r="D53" s="3" t="n">
        <v>2</v>
      </c>
      <c r="E53" s="5" t="n">
        <v>4</v>
      </c>
      <c r="F53" s="3" t="s">
        <v>78</v>
      </c>
      <c r="G53" s="3" t="s">
        <v>92</v>
      </c>
    </row>
    <row r="54" customFormat="false" ht="15" hidden="false" customHeight="false" outlineLevel="0" collapsed="false">
      <c r="A54" s="4" t="s">
        <v>136</v>
      </c>
      <c r="B54" s="8" t="n">
        <v>45984</v>
      </c>
      <c r="C54" s="4" t="s">
        <v>53</v>
      </c>
      <c r="D54" s="4" t="n">
        <v>1</v>
      </c>
      <c r="E54" s="6" t="n">
        <v>8</v>
      </c>
      <c r="F54" s="4" t="s">
        <v>86</v>
      </c>
      <c r="G54" s="4" t="s">
        <v>84</v>
      </c>
    </row>
    <row r="55" customFormat="false" ht="15" hidden="false" customHeight="false" outlineLevel="0" collapsed="false">
      <c r="A55" s="3" t="s">
        <v>137</v>
      </c>
      <c r="B55" s="7" t="n">
        <v>45986</v>
      </c>
      <c r="C55" s="3" t="s">
        <v>59</v>
      </c>
      <c r="D55" s="3" t="n">
        <v>4</v>
      </c>
      <c r="E55" s="5" t="n">
        <v>20</v>
      </c>
      <c r="F55" s="3" t="s">
        <v>78</v>
      </c>
      <c r="G55" s="3" t="s">
        <v>92</v>
      </c>
    </row>
    <row r="56" customFormat="false" ht="15" hidden="false" customHeight="false" outlineLevel="0" collapsed="false">
      <c r="A56" s="4" t="s">
        <v>138</v>
      </c>
      <c r="B56" s="8" t="n">
        <v>45986</v>
      </c>
      <c r="C56" s="4" t="s">
        <v>39</v>
      </c>
      <c r="D56" s="4" t="n">
        <v>2</v>
      </c>
      <c r="E56" s="6" t="n">
        <v>8</v>
      </c>
      <c r="F56" s="4" t="s">
        <v>78</v>
      </c>
      <c r="G56" s="4" t="s">
        <v>79</v>
      </c>
    </row>
    <row r="57" customFormat="false" ht="15" hidden="false" customHeight="false" outlineLevel="0" collapsed="false">
      <c r="A57" s="3" t="s">
        <v>139</v>
      </c>
      <c r="B57" s="7" t="n">
        <v>45987</v>
      </c>
      <c r="C57" s="3" t="s">
        <v>66</v>
      </c>
      <c r="D57" s="3" t="n">
        <v>4</v>
      </c>
      <c r="E57" s="5" t="n">
        <v>3</v>
      </c>
      <c r="F57" s="3" t="s">
        <v>89</v>
      </c>
      <c r="G57" s="3" t="s">
        <v>84</v>
      </c>
    </row>
    <row r="58" customFormat="false" ht="15" hidden="false" customHeight="false" outlineLevel="0" collapsed="false">
      <c r="A58" s="4" t="s">
        <v>140</v>
      </c>
      <c r="B58" s="8" t="n">
        <v>45987</v>
      </c>
      <c r="C58" s="4" t="s">
        <v>51</v>
      </c>
      <c r="D58" s="4" t="n">
        <v>4</v>
      </c>
      <c r="E58" s="6" t="n">
        <v>12</v>
      </c>
      <c r="F58" s="4" t="s">
        <v>78</v>
      </c>
      <c r="G58" s="4" t="s">
        <v>84</v>
      </c>
    </row>
    <row r="59" customFormat="false" ht="15" hidden="false" customHeight="false" outlineLevel="0" collapsed="false">
      <c r="A59" s="3" t="s">
        <v>141</v>
      </c>
      <c r="B59" s="7" t="n">
        <v>45989</v>
      </c>
      <c r="C59" s="3" t="s">
        <v>27</v>
      </c>
      <c r="D59" s="3" t="n">
        <v>1</v>
      </c>
      <c r="E59" s="5" t="n">
        <v>18</v>
      </c>
      <c r="F59" s="3" t="s">
        <v>86</v>
      </c>
      <c r="G59" s="3" t="s">
        <v>79</v>
      </c>
    </row>
    <row r="60" customFormat="false" ht="15" hidden="false" customHeight="false" outlineLevel="0" collapsed="false">
      <c r="A60" s="4" t="s">
        <v>142</v>
      </c>
      <c r="B60" s="8" t="n">
        <v>45991</v>
      </c>
      <c r="C60" s="4" t="s">
        <v>42</v>
      </c>
      <c r="D60" s="4" t="n">
        <v>2</v>
      </c>
      <c r="E60" s="6" t="n">
        <v>7</v>
      </c>
      <c r="F60" s="4" t="s">
        <v>81</v>
      </c>
      <c r="G60" s="4" t="s">
        <v>92</v>
      </c>
    </row>
    <row r="61" customFormat="false" ht="15" hidden="false" customHeight="false" outlineLevel="0" collapsed="false">
      <c r="A61" s="3" t="s">
        <v>143</v>
      </c>
      <c r="B61" s="7" t="n">
        <v>45991</v>
      </c>
      <c r="C61" s="3" t="s">
        <v>32</v>
      </c>
      <c r="D61" s="3" t="n">
        <v>2</v>
      </c>
      <c r="E61" s="5" t="n">
        <v>12</v>
      </c>
      <c r="F61" s="3" t="s">
        <v>86</v>
      </c>
      <c r="G61" s="3" t="s">
        <v>79</v>
      </c>
    </row>
    <row r="62" customFormat="false" ht="15" hidden="false" customHeight="false" outlineLevel="0" collapsed="false">
      <c r="A62" s="4" t="s">
        <v>144</v>
      </c>
      <c r="B62" s="8" t="n">
        <v>45991</v>
      </c>
      <c r="C62" s="4" t="s">
        <v>61</v>
      </c>
      <c r="D62" s="4" t="n">
        <v>2</v>
      </c>
      <c r="E62" s="6" t="n">
        <v>6</v>
      </c>
      <c r="F62" s="4" t="s">
        <v>89</v>
      </c>
      <c r="G62" s="4" t="s">
        <v>79</v>
      </c>
    </row>
    <row r="63" customFormat="false" ht="15" hidden="false" customHeight="false" outlineLevel="0" collapsed="false">
      <c r="A63" s="3" t="s">
        <v>145</v>
      </c>
      <c r="B63" s="7" t="n">
        <v>45991</v>
      </c>
      <c r="C63" s="3" t="s">
        <v>27</v>
      </c>
      <c r="D63" s="3" t="n">
        <v>3</v>
      </c>
      <c r="E63" s="5" t="n">
        <v>18</v>
      </c>
      <c r="F63" s="3" t="s">
        <v>89</v>
      </c>
      <c r="G63" s="3" t="s">
        <v>79</v>
      </c>
    </row>
    <row r="64" customFormat="false" ht="15" hidden="false" customHeight="false" outlineLevel="0" collapsed="false">
      <c r="A64" s="4" t="s">
        <v>146</v>
      </c>
      <c r="B64" s="8" t="n">
        <v>45992</v>
      </c>
      <c r="C64" s="4" t="s">
        <v>32</v>
      </c>
      <c r="D64" s="4" t="n">
        <v>4</v>
      </c>
      <c r="E64" s="6" t="n">
        <v>12</v>
      </c>
      <c r="F64" s="4" t="s">
        <v>89</v>
      </c>
      <c r="G64" s="4" t="s">
        <v>79</v>
      </c>
    </row>
    <row r="65" customFormat="false" ht="15" hidden="false" customHeight="false" outlineLevel="0" collapsed="false">
      <c r="A65" s="3" t="s">
        <v>147</v>
      </c>
      <c r="B65" s="7" t="n">
        <v>45993</v>
      </c>
      <c r="C65" s="3" t="s">
        <v>37</v>
      </c>
      <c r="D65" s="3" t="n">
        <v>2</v>
      </c>
      <c r="E65" s="5" t="n">
        <v>16</v>
      </c>
      <c r="F65" s="3" t="s">
        <v>78</v>
      </c>
      <c r="G65" s="3" t="s">
        <v>92</v>
      </c>
    </row>
    <row r="66" customFormat="false" ht="15" hidden="false" customHeight="false" outlineLevel="0" collapsed="false">
      <c r="A66" s="4" t="s">
        <v>148</v>
      </c>
      <c r="B66" s="8" t="n">
        <v>45993</v>
      </c>
      <c r="C66" s="4" t="s">
        <v>49</v>
      </c>
      <c r="D66" s="4" t="n">
        <v>1</v>
      </c>
      <c r="E66" s="6" t="n">
        <v>15</v>
      </c>
      <c r="F66" s="4" t="s">
        <v>81</v>
      </c>
      <c r="G66" s="4" t="s">
        <v>84</v>
      </c>
    </row>
    <row r="67" customFormat="false" ht="15" hidden="false" customHeight="false" outlineLevel="0" collapsed="false">
      <c r="A67" s="3" t="s">
        <v>149</v>
      </c>
      <c r="B67" s="7" t="n">
        <v>45993</v>
      </c>
      <c r="C67" s="3" t="s">
        <v>49</v>
      </c>
      <c r="D67" s="3" t="n">
        <v>4</v>
      </c>
      <c r="E67" s="5" t="n">
        <v>15</v>
      </c>
      <c r="F67" s="3" t="s">
        <v>78</v>
      </c>
      <c r="G67" s="3" t="s">
        <v>79</v>
      </c>
    </row>
    <row r="68" customFormat="false" ht="15" hidden="false" customHeight="false" outlineLevel="0" collapsed="false">
      <c r="A68" s="4" t="s">
        <v>150</v>
      </c>
      <c r="B68" s="8" t="n">
        <v>45993</v>
      </c>
      <c r="C68" s="4" t="s">
        <v>55</v>
      </c>
      <c r="D68" s="4" t="n">
        <v>2</v>
      </c>
      <c r="E68" s="6" t="n">
        <v>25</v>
      </c>
      <c r="F68" s="4" t="s">
        <v>89</v>
      </c>
      <c r="G68" s="4" t="s">
        <v>92</v>
      </c>
    </row>
    <row r="69" customFormat="false" ht="15" hidden="false" customHeight="false" outlineLevel="0" collapsed="false">
      <c r="A69" s="3" t="s">
        <v>151</v>
      </c>
      <c r="B69" s="7" t="n">
        <v>45994</v>
      </c>
      <c r="C69" s="3" t="s">
        <v>44</v>
      </c>
      <c r="D69" s="3" t="n">
        <v>4</v>
      </c>
      <c r="E69" s="5" t="n">
        <v>5</v>
      </c>
      <c r="F69" s="3" t="s">
        <v>81</v>
      </c>
      <c r="G69" s="3" t="s">
        <v>79</v>
      </c>
    </row>
    <row r="70" customFormat="false" ht="15" hidden="false" customHeight="false" outlineLevel="0" collapsed="false">
      <c r="A70" s="4" t="s">
        <v>152</v>
      </c>
      <c r="B70" s="8" t="n">
        <v>45994</v>
      </c>
      <c r="C70" s="4" t="s">
        <v>37</v>
      </c>
      <c r="D70" s="4" t="n">
        <v>4</v>
      </c>
      <c r="E70" s="6" t="n">
        <v>16</v>
      </c>
      <c r="F70" s="4" t="s">
        <v>86</v>
      </c>
      <c r="G70" s="4" t="s">
        <v>82</v>
      </c>
    </row>
    <row r="71" customFormat="false" ht="15" hidden="false" customHeight="false" outlineLevel="0" collapsed="false">
      <c r="A71" s="3" t="s">
        <v>153</v>
      </c>
      <c r="B71" s="7" t="n">
        <v>45996</v>
      </c>
      <c r="C71" s="3" t="s">
        <v>30</v>
      </c>
      <c r="D71" s="3" t="n">
        <v>1</v>
      </c>
      <c r="E71" s="5" t="n">
        <v>14</v>
      </c>
      <c r="F71" s="3" t="s">
        <v>86</v>
      </c>
      <c r="G71" s="3" t="s">
        <v>82</v>
      </c>
    </row>
    <row r="72" customFormat="false" ht="15" hidden="false" customHeight="false" outlineLevel="0" collapsed="false">
      <c r="A72" s="4" t="s">
        <v>154</v>
      </c>
      <c r="B72" s="8" t="n">
        <v>45996</v>
      </c>
      <c r="C72" s="4" t="s">
        <v>49</v>
      </c>
      <c r="D72" s="4" t="n">
        <v>1</v>
      </c>
      <c r="E72" s="6" t="n">
        <v>15</v>
      </c>
      <c r="F72" s="4" t="s">
        <v>86</v>
      </c>
      <c r="G72" s="4" t="s">
        <v>82</v>
      </c>
    </row>
    <row r="73" customFormat="false" ht="15" hidden="false" customHeight="false" outlineLevel="0" collapsed="false">
      <c r="A73" s="3" t="s">
        <v>155</v>
      </c>
      <c r="B73" s="7" t="n">
        <v>45997</v>
      </c>
      <c r="C73" s="3" t="s">
        <v>66</v>
      </c>
      <c r="D73" s="3" t="n">
        <v>3</v>
      </c>
      <c r="E73" s="5" t="n">
        <v>3</v>
      </c>
      <c r="F73" s="3" t="s">
        <v>89</v>
      </c>
      <c r="G73" s="3" t="s">
        <v>79</v>
      </c>
    </row>
    <row r="74" customFormat="false" ht="15" hidden="false" customHeight="false" outlineLevel="0" collapsed="false">
      <c r="A74" s="4" t="s">
        <v>156</v>
      </c>
      <c r="B74" s="8" t="n">
        <v>45998</v>
      </c>
      <c r="C74" s="4" t="s">
        <v>55</v>
      </c>
      <c r="D74" s="4" t="n">
        <v>1</v>
      </c>
      <c r="E74" s="6" t="n">
        <v>25</v>
      </c>
      <c r="F74" s="4" t="s">
        <v>78</v>
      </c>
      <c r="G74" s="4" t="s">
        <v>92</v>
      </c>
    </row>
    <row r="75" customFormat="false" ht="15" hidden="false" customHeight="false" outlineLevel="0" collapsed="false">
      <c r="A75" s="3" t="s">
        <v>157</v>
      </c>
      <c r="B75" s="7" t="n">
        <v>45998</v>
      </c>
      <c r="C75" s="3" t="s">
        <v>32</v>
      </c>
      <c r="D75" s="3" t="n">
        <v>1</v>
      </c>
      <c r="E75" s="5" t="n">
        <v>12</v>
      </c>
      <c r="F75" s="3" t="s">
        <v>89</v>
      </c>
      <c r="G75" s="3" t="s">
        <v>84</v>
      </c>
    </row>
    <row r="76" customFormat="false" ht="15" hidden="false" customHeight="false" outlineLevel="0" collapsed="false">
      <c r="A76" s="4" t="s">
        <v>158</v>
      </c>
      <c r="B76" s="8" t="n">
        <v>45998</v>
      </c>
      <c r="C76" s="4" t="s">
        <v>53</v>
      </c>
      <c r="D76" s="4" t="n">
        <v>1</v>
      </c>
      <c r="E76" s="6" t="n">
        <v>8</v>
      </c>
      <c r="F76" s="4" t="s">
        <v>78</v>
      </c>
      <c r="G76" s="4" t="s">
        <v>82</v>
      </c>
    </row>
    <row r="77" customFormat="false" ht="15" hidden="false" customHeight="false" outlineLevel="0" collapsed="false">
      <c r="A77" s="3" t="s">
        <v>159</v>
      </c>
      <c r="B77" s="7" t="n">
        <v>46000</v>
      </c>
      <c r="C77" s="3" t="s">
        <v>27</v>
      </c>
      <c r="D77" s="3" t="n">
        <v>3</v>
      </c>
      <c r="E77" s="5" t="n">
        <v>18</v>
      </c>
      <c r="F77" s="3" t="s">
        <v>81</v>
      </c>
      <c r="G77" s="3" t="s">
        <v>92</v>
      </c>
    </row>
    <row r="78" customFormat="false" ht="15" hidden="false" customHeight="false" outlineLevel="0" collapsed="false">
      <c r="A78" s="4" t="s">
        <v>160</v>
      </c>
      <c r="B78" s="8" t="n">
        <v>46000</v>
      </c>
      <c r="C78" s="4" t="s">
        <v>32</v>
      </c>
      <c r="D78" s="4" t="n">
        <v>4</v>
      </c>
      <c r="E78" s="6" t="n">
        <v>12</v>
      </c>
      <c r="F78" s="4" t="s">
        <v>78</v>
      </c>
      <c r="G78" s="4" t="s">
        <v>92</v>
      </c>
    </row>
    <row r="79" customFormat="false" ht="15" hidden="false" customHeight="false" outlineLevel="0" collapsed="false">
      <c r="A79" s="3" t="s">
        <v>161</v>
      </c>
      <c r="B79" s="7" t="n">
        <v>46001</v>
      </c>
      <c r="C79" s="3" t="s">
        <v>34</v>
      </c>
      <c r="D79" s="3" t="n">
        <v>2</v>
      </c>
      <c r="E79" s="5" t="n">
        <v>10</v>
      </c>
      <c r="F79" s="3" t="s">
        <v>78</v>
      </c>
      <c r="G79" s="3" t="s">
        <v>79</v>
      </c>
    </row>
    <row r="80" customFormat="false" ht="15" hidden="false" customHeight="false" outlineLevel="0" collapsed="false">
      <c r="A80" s="4" t="s">
        <v>162</v>
      </c>
      <c r="B80" s="8" t="n">
        <v>46001</v>
      </c>
      <c r="C80" s="4" t="s">
        <v>53</v>
      </c>
      <c r="D80" s="4" t="n">
        <v>2</v>
      </c>
      <c r="E80" s="6" t="n">
        <v>8</v>
      </c>
      <c r="F80" s="4" t="s">
        <v>78</v>
      </c>
      <c r="G80" s="4" t="s">
        <v>79</v>
      </c>
    </row>
    <row r="81" customFormat="false" ht="15" hidden="false" customHeight="false" outlineLevel="0" collapsed="false">
      <c r="A81" s="3" t="s">
        <v>163</v>
      </c>
      <c r="B81" s="7" t="n">
        <v>46001</v>
      </c>
      <c r="C81" s="3" t="s">
        <v>44</v>
      </c>
      <c r="D81" s="3" t="n">
        <v>2</v>
      </c>
      <c r="E81" s="5" t="n">
        <v>5</v>
      </c>
      <c r="F81" s="3" t="s">
        <v>89</v>
      </c>
      <c r="G81" s="3" t="s">
        <v>79</v>
      </c>
    </row>
    <row r="82" customFormat="false" ht="15" hidden="false" customHeight="false" outlineLevel="0" collapsed="false">
      <c r="A82" s="4" t="s">
        <v>164</v>
      </c>
      <c r="B82" s="8" t="n">
        <v>46001</v>
      </c>
      <c r="C82" s="4" t="s">
        <v>37</v>
      </c>
      <c r="D82" s="4" t="n">
        <v>1</v>
      </c>
      <c r="E82" s="6" t="n">
        <v>16</v>
      </c>
      <c r="F82" s="4" t="s">
        <v>78</v>
      </c>
      <c r="G82" s="4" t="s">
        <v>84</v>
      </c>
    </row>
    <row r="83" customFormat="false" ht="15" hidden="false" customHeight="false" outlineLevel="0" collapsed="false">
      <c r="A83" s="3" t="s">
        <v>165</v>
      </c>
      <c r="B83" s="7" t="n">
        <v>46002</v>
      </c>
      <c r="C83" s="3" t="s">
        <v>27</v>
      </c>
      <c r="D83" s="3" t="n">
        <v>2</v>
      </c>
      <c r="E83" s="5" t="n">
        <v>18</v>
      </c>
      <c r="F83" s="3" t="s">
        <v>81</v>
      </c>
      <c r="G83" s="3" t="s">
        <v>79</v>
      </c>
    </row>
    <row r="84" customFormat="false" ht="15" hidden="false" customHeight="false" outlineLevel="0" collapsed="false">
      <c r="A84" s="4" t="s">
        <v>166</v>
      </c>
      <c r="B84" s="8" t="n">
        <v>46003</v>
      </c>
      <c r="C84" s="4" t="s">
        <v>49</v>
      </c>
      <c r="D84" s="4" t="n">
        <v>3</v>
      </c>
      <c r="E84" s="6" t="n">
        <v>15</v>
      </c>
      <c r="F84" s="4" t="s">
        <v>89</v>
      </c>
      <c r="G84" s="4" t="s">
        <v>92</v>
      </c>
    </row>
    <row r="85" customFormat="false" ht="15" hidden="false" customHeight="false" outlineLevel="0" collapsed="false">
      <c r="A85" s="3" t="s">
        <v>167</v>
      </c>
      <c r="B85" s="7" t="n">
        <v>46003</v>
      </c>
      <c r="C85" s="3" t="s">
        <v>49</v>
      </c>
      <c r="D85" s="3" t="n">
        <v>3</v>
      </c>
      <c r="E85" s="5" t="n">
        <v>15</v>
      </c>
      <c r="F85" s="3" t="s">
        <v>89</v>
      </c>
      <c r="G85" s="3" t="s">
        <v>79</v>
      </c>
    </row>
    <row r="86" customFormat="false" ht="15" hidden="false" customHeight="false" outlineLevel="0" collapsed="false">
      <c r="A86" s="4" t="s">
        <v>168</v>
      </c>
      <c r="B86" s="8" t="n">
        <v>46003</v>
      </c>
      <c r="C86" s="4" t="s">
        <v>57</v>
      </c>
      <c r="D86" s="4" t="n">
        <v>2</v>
      </c>
      <c r="E86" s="6" t="n">
        <v>30</v>
      </c>
      <c r="F86" s="4" t="s">
        <v>78</v>
      </c>
      <c r="G86" s="4" t="s">
        <v>79</v>
      </c>
    </row>
    <row r="87" customFormat="false" ht="15" hidden="false" customHeight="false" outlineLevel="0" collapsed="false">
      <c r="A87" s="3" t="s">
        <v>169</v>
      </c>
      <c r="B87" s="7" t="n">
        <v>46004</v>
      </c>
      <c r="C87" s="3" t="s">
        <v>32</v>
      </c>
      <c r="D87" s="3" t="n">
        <v>3</v>
      </c>
      <c r="E87" s="5" t="n">
        <v>12</v>
      </c>
      <c r="F87" s="3" t="s">
        <v>86</v>
      </c>
      <c r="G87" s="3" t="s">
        <v>84</v>
      </c>
    </row>
    <row r="88" customFormat="false" ht="15" hidden="false" customHeight="false" outlineLevel="0" collapsed="false">
      <c r="A88" s="4" t="s">
        <v>170</v>
      </c>
      <c r="B88" s="8" t="n">
        <v>46005</v>
      </c>
      <c r="C88" s="4" t="s">
        <v>32</v>
      </c>
      <c r="D88" s="4" t="n">
        <v>4</v>
      </c>
      <c r="E88" s="6" t="n">
        <v>12</v>
      </c>
      <c r="F88" s="4" t="s">
        <v>81</v>
      </c>
      <c r="G88" s="4" t="s">
        <v>79</v>
      </c>
    </row>
    <row r="89" customFormat="false" ht="15" hidden="false" customHeight="false" outlineLevel="0" collapsed="false">
      <c r="A89" s="3" t="s">
        <v>171</v>
      </c>
      <c r="B89" s="7" t="n">
        <v>46005</v>
      </c>
      <c r="C89" s="3" t="s">
        <v>27</v>
      </c>
      <c r="D89" s="3" t="n">
        <v>4</v>
      </c>
      <c r="E89" s="5" t="n">
        <v>18</v>
      </c>
      <c r="F89" s="3" t="s">
        <v>86</v>
      </c>
      <c r="G89" s="3" t="s">
        <v>79</v>
      </c>
    </row>
    <row r="90" customFormat="false" ht="15" hidden="false" customHeight="false" outlineLevel="0" collapsed="false">
      <c r="A90" s="4" t="s">
        <v>172</v>
      </c>
      <c r="B90" s="8" t="n">
        <v>46006</v>
      </c>
      <c r="C90" s="4" t="s">
        <v>30</v>
      </c>
      <c r="D90" s="4" t="n">
        <v>1</v>
      </c>
      <c r="E90" s="6" t="n">
        <v>14</v>
      </c>
      <c r="F90" s="4" t="s">
        <v>86</v>
      </c>
      <c r="G90" s="4" t="s">
        <v>79</v>
      </c>
    </row>
    <row r="91" customFormat="false" ht="15" hidden="false" customHeight="false" outlineLevel="0" collapsed="false">
      <c r="A91" s="3" t="s">
        <v>173</v>
      </c>
      <c r="B91" s="7" t="n">
        <v>46006</v>
      </c>
      <c r="C91" s="3" t="s">
        <v>57</v>
      </c>
      <c r="D91" s="3" t="n">
        <v>4</v>
      </c>
      <c r="E91" s="5" t="n">
        <v>30</v>
      </c>
      <c r="F91" s="3" t="s">
        <v>78</v>
      </c>
      <c r="G91" s="3" t="s">
        <v>79</v>
      </c>
    </row>
    <row r="92" customFormat="false" ht="15" hidden="false" customHeight="false" outlineLevel="0" collapsed="false">
      <c r="A92" s="4" t="s">
        <v>174</v>
      </c>
      <c r="B92" s="8" t="n">
        <v>46007</v>
      </c>
      <c r="C92" s="4" t="s">
        <v>49</v>
      </c>
      <c r="D92" s="4" t="n">
        <v>4</v>
      </c>
      <c r="E92" s="6" t="n">
        <v>15</v>
      </c>
      <c r="F92" s="4" t="s">
        <v>86</v>
      </c>
      <c r="G92" s="4" t="s">
        <v>84</v>
      </c>
    </row>
    <row r="93" customFormat="false" ht="15" hidden="false" customHeight="false" outlineLevel="0" collapsed="false">
      <c r="A93" s="3" t="s">
        <v>175</v>
      </c>
      <c r="B93" s="7" t="n">
        <v>46008</v>
      </c>
      <c r="C93" s="3" t="s">
        <v>49</v>
      </c>
      <c r="D93" s="3" t="n">
        <v>1</v>
      </c>
      <c r="E93" s="5" t="n">
        <v>15</v>
      </c>
      <c r="F93" s="3" t="s">
        <v>89</v>
      </c>
      <c r="G93" s="3" t="s">
        <v>79</v>
      </c>
    </row>
    <row r="94" customFormat="false" ht="15" hidden="false" customHeight="false" outlineLevel="0" collapsed="false">
      <c r="A94" s="4" t="s">
        <v>176</v>
      </c>
      <c r="B94" s="8" t="n">
        <v>46008</v>
      </c>
      <c r="C94" s="4" t="s">
        <v>32</v>
      </c>
      <c r="D94" s="4" t="n">
        <v>4</v>
      </c>
      <c r="E94" s="6" t="n">
        <v>12</v>
      </c>
      <c r="F94" s="4" t="s">
        <v>86</v>
      </c>
      <c r="G94" s="4" t="s">
        <v>92</v>
      </c>
    </row>
    <row r="95" customFormat="false" ht="15" hidden="false" customHeight="false" outlineLevel="0" collapsed="false">
      <c r="A95" s="3" t="s">
        <v>177</v>
      </c>
      <c r="B95" s="7" t="n">
        <v>46009</v>
      </c>
      <c r="C95" s="3" t="s">
        <v>32</v>
      </c>
      <c r="D95" s="3" t="n">
        <v>1</v>
      </c>
      <c r="E95" s="5" t="n">
        <v>12</v>
      </c>
      <c r="F95" s="3" t="s">
        <v>89</v>
      </c>
      <c r="G95" s="3" t="s">
        <v>92</v>
      </c>
    </row>
    <row r="96" customFormat="false" ht="15" hidden="false" customHeight="false" outlineLevel="0" collapsed="false">
      <c r="A96" s="4" t="s">
        <v>178</v>
      </c>
      <c r="B96" s="8" t="n">
        <v>46009</v>
      </c>
      <c r="C96" s="4" t="s">
        <v>61</v>
      </c>
      <c r="D96" s="4" t="n">
        <v>1</v>
      </c>
      <c r="E96" s="6" t="n">
        <v>6</v>
      </c>
      <c r="F96" s="4" t="s">
        <v>78</v>
      </c>
      <c r="G96" s="4" t="s">
        <v>79</v>
      </c>
    </row>
    <row r="97" customFormat="false" ht="15" hidden="false" customHeight="false" outlineLevel="0" collapsed="false">
      <c r="A97" s="3" t="s">
        <v>179</v>
      </c>
      <c r="B97" s="7" t="n">
        <v>46011</v>
      </c>
      <c r="C97" s="3" t="s">
        <v>42</v>
      </c>
      <c r="D97" s="3" t="n">
        <v>4</v>
      </c>
      <c r="E97" s="5" t="n">
        <v>7</v>
      </c>
      <c r="F97" s="3" t="s">
        <v>86</v>
      </c>
      <c r="G97" s="3" t="s">
        <v>79</v>
      </c>
    </row>
    <row r="98" customFormat="false" ht="15" hidden="false" customHeight="false" outlineLevel="0" collapsed="false">
      <c r="A98" s="4" t="s">
        <v>180</v>
      </c>
      <c r="B98" s="8" t="n">
        <v>46011</v>
      </c>
      <c r="C98" s="4" t="s">
        <v>30</v>
      </c>
      <c r="D98" s="4" t="n">
        <v>4</v>
      </c>
      <c r="E98" s="6" t="n">
        <v>14</v>
      </c>
      <c r="F98" s="4" t="s">
        <v>89</v>
      </c>
      <c r="G98" s="4" t="s">
        <v>92</v>
      </c>
    </row>
    <row r="99" customFormat="false" ht="15" hidden="false" customHeight="false" outlineLevel="0" collapsed="false">
      <c r="A99" s="3" t="s">
        <v>181</v>
      </c>
      <c r="B99" s="7" t="n">
        <v>46013</v>
      </c>
      <c r="C99" s="3" t="s">
        <v>42</v>
      </c>
      <c r="D99" s="3" t="n">
        <v>1</v>
      </c>
      <c r="E99" s="5" t="n">
        <v>7</v>
      </c>
      <c r="F99" s="3" t="s">
        <v>81</v>
      </c>
      <c r="G99" s="3" t="s">
        <v>79</v>
      </c>
    </row>
    <row r="100" customFormat="false" ht="15" hidden="false" customHeight="false" outlineLevel="0" collapsed="false">
      <c r="A100" s="4" t="s">
        <v>182</v>
      </c>
      <c r="B100" s="8" t="n">
        <v>46014</v>
      </c>
      <c r="C100" s="4" t="s">
        <v>32</v>
      </c>
      <c r="D100" s="4" t="n">
        <v>3</v>
      </c>
      <c r="E100" s="6" t="n">
        <v>12</v>
      </c>
      <c r="F100" s="4" t="s">
        <v>78</v>
      </c>
      <c r="G100" s="4" t="s">
        <v>79</v>
      </c>
    </row>
    <row r="101" customFormat="false" ht="15" hidden="false" customHeight="false" outlineLevel="0" collapsed="false">
      <c r="A101" s="3" t="s">
        <v>183</v>
      </c>
      <c r="B101" s="7" t="n">
        <v>46014</v>
      </c>
      <c r="C101" s="3" t="s">
        <v>30</v>
      </c>
      <c r="D101" s="3" t="n">
        <v>2</v>
      </c>
      <c r="E101" s="5" t="n">
        <v>14</v>
      </c>
      <c r="F101" s="3" t="s">
        <v>78</v>
      </c>
      <c r="G101" s="3" t="s">
        <v>84</v>
      </c>
    </row>
    <row r="102" customFormat="false" ht="15" hidden="false" customHeight="false" outlineLevel="0" collapsed="false">
      <c r="A102" s="4" t="s">
        <v>184</v>
      </c>
      <c r="B102" s="8" t="n">
        <v>46014</v>
      </c>
      <c r="C102" s="4" t="s">
        <v>47</v>
      </c>
      <c r="D102" s="4" t="n">
        <v>1</v>
      </c>
      <c r="E102" s="6" t="n">
        <v>4</v>
      </c>
      <c r="F102" s="4" t="s">
        <v>89</v>
      </c>
      <c r="G102" s="4" t="s">
        <v>79</v>
      </c>
    </row>
    <row r="103" customFormat="false" ht="15" hidden="false" customHeight="false" outlineLevel="0" collapsed="false">
      <c r="A103" s="3" t="s">
        <v>185</v>
      </c>
      <c r="B103" s="7" t="n">
        <v>46014</v>
      </c>
      <c r="C103" s="3" t="s">
        <v>63</v>
      </c>
      <c r="D103" s="3" t="n">
        <v>4</v>
      </c>
      <c r="E103" s="5" t="n">
        <v>3</v>
      </c>
      <c r="F103" s="3" t="s">
        <v>78</v>
      </c>
      <c r="G103" s="3" t="s">
        <v>79</v>
      </c>
    </row>
    <row r="104" customFormat="false" ht="15" hidden="false" customHeight="false" outlineLevel="0" collapsed="false">
      <c r="A104" s="4" t="s">
        <v>186</v>
      </c>
      <c r="B104" s="8" t="n">
        <v>46017</v>
      </c>
      <c r="C104" s="4" t="s">
        <v>30</v>
      </c>
      <c r="D104" s="4" t="n">
        <v>2</v>
      </c>
      <c r="E104" s="6" t="n">
        <v>14</v>
      </c>
      <c r="F104" s="4" t="s">
        <v>86</v>
      </c>
      <c r="G104" s="4" t="s">
        <v>84</v>
      </c>
    </row>
    <row r="105" customFormat="false" ht="15" hidden="false" customHeight="false" outlineLevel="0" collapsed="false">
      <c r="A105" s="3" t="s">
        <v>187</v>
      </c>
      <c r="B105" s="7" t="n">
        <v>46017</v>
      </c>
      <c r="C105" s="3" t="s">
        <v>42</v>
      </c>
      <c r="D105" s="3" t="n">
        <v>1</v>
      </c>
      <c r="E105" s="5" t="n">
        <v>7</v>
      </c>
      <c r="F105" s="3" t="s">
        <v>86</v>
      </c>
      <c r="G105" s="3" t="s">
        <v>92</v>
      </c>
    </row>
    <row r="106" customFormat="false" ht="15" hidden="false" customHeight="false" outlineLevel="0" collapsed="false">
      <c r="A106" s="4" t="s">
        <v>188</v>
      </c>
      <c r="B106" s="8" t="n">
        <v>46017</v>
      </c>
      <c r="C106" s="4" t="s">
        <v>55</v>
      </c>
      <c r="D106" s="4" t="n">
        <v>1</v>
      </c>
      <c r="E106" s="6" t="n">
        <v>25</v>
      </c>
      <c r="F106" s="4" t="s">
        <v>89</v>
      </c>
      <c r="G106" s="4" t="s">
        <v>84</v>
      </c>
    </row>
    <row r="107" customFormat="false" ht="15" hidden="false" customHeight="false" outlineLevel="0" collapsed="false">
      <c r="A107" s="3" t="s">
        <v>189</v>
      </c>
      <c r="B107" s="7" t="n">
        <v>46017</v>
      </c>
      <c r="C107" s="3" t="s">
        <v>27</v>
      </c>
      <c r="D107" s="3" t="n">
        <v>3</v>
      </c>
      <c r="E107" s="5" t="n">
        <v>18</v>
      </c>
      <c r="F107" s="3" t="s">
        <v>89</v>
      </c>
      <c r="G107" s="3" t="s">
        <v>79</v>
      </c>
    </row>
    <row r="108" customFormat="false" ht="15" hidden="false" customHeight="false" outlineLevel="0" collapsed="false">
      <c r="A108" s="4" t="s">
        <v>190</v>
      </c>
      <c r="B108" s="8" t="n">
        <v>46018</v>
      </c>
      <c r="C108" s="4" t="s">
        <v>27</v>
      </c>
      <c r="D108" s="4" t="n">
        <v>2</v>
      </c>
      <c r="E108" s="6" t="n">
        <v>18</v>
      </c>
      <c r="F108" s="4" t="s">
        <v>89</v>
      </c>
      <c r="G108" s="4" t="s">
        <v>79</v>
      </c>
    </row>
    <row r="109" customFormat="false" ht="15" hidden="false" customHeight="false" outlineLevel="0" collapsed="false">
      <c r="A109" s="3" t="s">
        <v>191</v>
      </c>
      <c r="B109" s="7" t="n">
        <v>46020</v>
      </c>
      <c r="C109" s="3" t="s">
        <v>37</v>
      </c>
      <c r="D109" s="3" t="n">
        <v>3</v>
      </c>
      <c r="E109" s="5" t="n">
        <v>16</v>
      </c>
      <c r="F109" s="3" t="s">
        <v>86</v>
      </c>
      <c r="G109" s="3" t="s">
        <v>92</v>
      </c>
    </row>
    <row r="110" customFormat="false" ht="15" hidden="false" customHeight="false" outlineLevel="0" collapsed="false">
      <c r="A110" s="4" t="s">
        <v>192</v>
      </c>
      <c r="B110" s="8" t="n">
        <v>46020</v>
      </c>
      <c r="C110" s="4" t="s">
        <v>66</v>
      </c>
      <c r="D110" s="4" t="n">
        <v>2</v>
      </c>
      <c r="E110" s="6" t="n">
        <v>3</v>
      </c>
      <c r="F110" s="4" t="s">
        <v>86</v>
      </c>
      <c r="G110" s="4" t="s">
        <v>79</v>
      </c>
    </row>
    <row r="111" customFormat="false" ht="15" hidden="false" customHeight="false" outlineLevel="0" collapsed="false">
      <c r="A111" s="3" t="s">
        <v>193</v>
      </c>
      <c r="B111" s="7" t="n">
        <v>46021</v>
      </c>
      <c r="C111" s="3" t="s">
        <v>37</v>
      </c>
      <c r="D111" s="3" t="n">
        <v>4</v>
      </c>
      <c r="E111" s="5" t="n">
        <v>16</v>
      </c>
      <c r="F111" s="3" t="s">
        <v>86</v>
      </c>
      <c r="G111" s="3" t="s">
        <v>84</v>
      </c>
    </row>
    <row r="112" customFormat="false" ht="15" hidden="false" customHeight="false" outlineLevel="0" collapsed="false">
      <c r="A112" s="4" t="s">
        <v>194</v>
      </c>
      <c r="B112" s="8" t="n">
        <v>46022</v>
      </c>
      <c r="C112" s="4" t="s">
        <v>49</v>
      </c>
      <c r="D112" s="4" t="n">
        <v>1</v>
      </c>
      <c r="E112" s="6" t="n">
        <v>15</v>
      </c>
      <c r="F112" s="4" t="s">
        <v>81</v>
      </c>
      <c r="G112" s="4" t="s">
        <v>84</v>
      </c>
    </row>
    <row r="113" customFormat="false" ht="15" hidden="false" customHeight="false" outlineLevel="0" collapsed="false">
      <c r="A113" s="3" t="s">
        <v>195</v>
      </c>
      <c r="B113" s="7" t="n">
        <v>46025</v>
      </c>
      <c r="C113" s="3" t="s">
        <v>44</v>
      </c>
      <c r="D113" s="3" t="n">
        <v>4</v>
      </c>
      <c r="E113" s="5" t="n">
        <v>5</v>
      </c>
      <c r="F113" s="3" t="s">
        <v>78</v>
      </c>
      <c r="G113" s="3" t="s">
        <v>79</v>
      </c>
    </row>
    <row r="114" customFormat="false" ht="15" hidden="false" customHeight="false" outlineLevel="0" collapsed="false">
      <c r="A114" s="4" t="s">
        <v>196</v>
      </c>
      <c r="B114" s="8" t="n">
        <v>46025</v>
      </c>
      <c r="C114" s="4" t="s">
        <v>39</v>
      </c>
      <c r="D114" s="4" t="n">
        <v>2</v>
      </c>
      <c r="E114" s="6" t="n">
        <v>8</v>
      </c>
      <c r="F114" s="4" t="s">
        <v>78</v>
      </c>
      <c r="G114" s="4" t="s">
        <v>79</v>
      </c>
    </row>
    <row r="115" customFormat="false" ht="15" hidden="false" customHeight="false" outlineLevel="0" collapsed="false">
      <c r="A115" s="3" t="s">
        <v>197</v>
      </c>
      <c r="B115" s="7" t="n">
        <v>46026</v>
      </c>
      <c r="C115" s="3" t="s">
        <v>32</v>
      </c>
      <c r="D115" s="3" t="n">
        <v>1</v>
      </c>
      <c r="E115" s="5" t="n">
        <v>12</v>
      </c>
      <c r="F115" s="3" t="s">
        <v>78</v>
      </c>
      <c r="G115" s="3" t="s">
        <v>92</v>
      </c>
    </row>
    <row r="116" customFormat="false" ht="15" hidden="false" customHeight="false" outlineLevel="0" collapsed="false">
      <c r="A116" s="4" t="s">
        <v>198</v>
      </c>
      <c r="B116" s="8" t="n">
        <v>46027</v>
      </c>
      <c r="C116" s="4" t="s">
        <v>34</v>
      </c>
      <c r="D116" s="4" t="n">
        <v>3</v>
      </c>
      <c r="E116" s="6" t="n">
        <v>10</v>
      </c>
      <c r="F116" s="4" t="s">
        <v>86</v>
      </c>
      <c r="G116" s="4" t="s">
        <v>84</v>
      </c>
    </row>
    <row r="117" customFormat="false" ht="15" hidden="false" customHeight="false" outlineLevel="0" collapsed="false">
      <c r="A117" s="3" t="s">
        <v>199</v>
      </c>
      <c r="B117" s="7" t="n">
        <v>46028</v>
      </c>
      <c r="C117" s="3" t="s">
        <v>51</v>
      </c>
      <c r="D117" s="3" t="n">
        <v>3</v>
      </c>
      <c r="E117" s="5" t="n">
        <v>12</v>
      </c>
      <c r="F117" s="3" t="s">
        <v>86</v>
      </c>
      <c r="G117" s="3" t="s">
        <v>79</v>
      </c>
    </row>
    <row r="118" customFormat="false" ht="15" hidden="false" customHeight="false" outlineLevel="0" collapsed="false">
      <c r="A118" s="4" t="s">
        <v>200</v>
      </c>
      <c r="B118" s="8" t="n">
        <v>46028</v>
      </c>
      <c r="C118" s="4" t="s">
        <v>63</v>
      </c>
      <c r="D118" s="4" t="n">
        <v>4</v>
      </c>
      <c r="E118" s="6" t="n">
        <v>3</v>
      </c>
      <c r="F118" s="4" t="s">
        <v>78</v>
      </c>
      <c r="G118" s="4" t="s">
        <v>92</v>
      </c>
    </row>
    <row r="119" customFormat="false" ht="15" hidden="false" customHeight="false" outlineLevel="0" collapsed="false">
      <c r="A119" s="3" t="s">
        <v>201</v>
      </c>
      <c r="B119" s="7" t="n">
        <v>46028</v>
      </c>
      <c r="C119" s="3" t="s">
        <v>39</v>
      </c>
      <c r="D119" s="3" t="n">
        <v>4</v>
      </c>
      <c r="E119" s="5" t="n">
        <v>8</v>
      </c>
      <c r="F119" s="3" t="s">
        <v>78</v>
      </c>
      <c r="G119" s="3" t="s">
        <v>84</v>
      </c>
    </row>
    <row r="120" customFormat="false" ht="15" hidden="false" customHeight="false" outlineLevel="0" collapsed="false">
      <c r="A120" s="4" t="s">
        <v>202</v>
      </c>
      <c r="B120" s="8" t="n">
        <v>46028</v>
      </c>
      <c r="C120" s="4" t="s">
        <v>51</v>
      </c>
      <c r="D120" s="4" t="n">
        <v>2</v>
      </c>
      <c r="E120" s="6" t="n">
        <v>12</v>
      </c>
      <c r="F120" s="4" t="s">
        <v>81</v>
      </c>
      <c r="G120" s="4" t="s">
        <v>82</v>
      </c>
    </row>
    <row r="121" customFormat="false" ht="15" hidden="false" customHeight="false" outlineLevel="0" collapsed="false">
      <c r="A121" s="3" t="s">
        <v>203</v>
      </c>
      <c r="B121" s="7" t="n">
        <v>46032</v>
      </c>
      <c r="C121" s="3" t="s">
        <v>51</v>
      </c>
      <c r="D121" s="3" t="n">
        <v>4</v>
      </c>
      <c r="E121" s="5" t="n">
        <v>12</v>
      </c>
      <c r="F121" s="3" t="s">
        <v>78</v>
      </c>
      <c r="G121" s="3" t="s">
        <v>92</v>
      </c>
    </row>
    <row r="122" customFormat="false" ht="15" hidden="false" customHeight="false" outlineLevel="0" collapsed="false">
      <c r="A122" s="4" t="s">
        <v>204</v>
      </c>
      <c r="B122" s="8" t="n">
        <v>46033</v>
      </c>
      <c r="C122" s="4" t="s">
        <v>27</v>
      </c>
      <c r="D122" s="4" t="n">
        <v>4</v>
      </c>
      <c r="E122" s="6" t="n">
        <v>18</v>
      </c>
      <c r="F122" s="4" t="s">
        <v>78</v>
      </c>
      <c r="G122" s="4" t="s">
        <v>84</v>
      </c>
    </row>
    <row r="123" customFormat="false" ht="15" hidden="false" customHeight="false" outlineLevel="0" collapsed="false">
      <c r="A123" s="3" t="s">
        <v>205</v>
      </c>
      <c r="B123" s="7" t="n">
        <v>46035</v>
      </c>
      <c r="C123" s="3" t="s">
        <v>55</v>
      </c>
      <c r="D123" s="3" t="n">
        <v>4</v>
      </c>
      <c r="E123" s="5" t="n">
        <v>25</v>
      </c>
      <c r="F123" s="3" t="s">
        <v>81</v>
      </c>
      <c r="G123" s="3" t="s">
        <v>79</v>
      </c>
    </row>
    <row r="124" customFormat="false" ht="15" hidden="false" customHeight="false" outlineLevel="0" collapsed="false">
      <c r="A124" s="4" t="s">
        <v>206</v>
      </c>
      <c r="B124" s="8" t="n">
        <v>46037</v>
      </c>
      <c r="C124" s="4" t="s">
        <v>55</v>
      </c>
      <c r="D124" s="4" t="n">
        <v>3</v>
      </c>
      <c r="E124" s="6" t="n">
        <v>25</v>
      </c>
      <c r="F124" s="4" t="s">
        <v>89</v>
      </c>
      <c r="G124" s="4" t="s">
        <v>79</v>
      </c>
    </row>
    <row r="125" customFormat="false" ht="15" hidden="false" customHeight="false" outlineLevel="0" collapsed="false">
      <c r="A125" s="3" t="s">
        <v>207</v>
      </c>
      <c r="B125" s="7" t="n">
        <v>46038</v>
      </c>
      <c r="C125" s="3" t="s">
        <v>55</v>
      </c>
      <c r="D125" s="3" t="n">
        <v>1</v>
      </c>
      <c r="E125" s="5" t="n">
        <v>25</v>
      </c>
      <c r="F125" s="3" t="s">
        <v>81</v>
      </c>
      <c r="G125" s="3" t="s">
        <v>79</v>
      </c>
    </row>
    <row r="126" customFormat="false" ht="15" hidden="false" customHeight="false" outlineLevel="0" collapsed="false">
      <c r="A126" s="4" t="s">
        <v>208</v>
      </c>
      <c r="B126" s="8" t="n">
        <v>46038</v>
      </c>
      <c r="C126" s="4" t="s">
        <v>55</v>
      </c>
      <c r="D126" s="4" t="n">
        <v>4</v>
      </c>
      <c r="E126" s="6" t="n">
        <v>25</v>
      </c>
      <c r="F126" s="4" t="s">
        <v>81</v>
      </c>
      <c r="G126" s="4" t="s">
        <v>92</v>
      </c>
    </row>
    <row r="127" customFormat="false" ht="15" hidden="false" customHeight="false" outlineLevel="0" collapsed="false">
      <c r="A127" s="3" t="s">
        <v>209</v>
      </c>
      <c r="B127" s="7" t="n">
        <v>46042</v>
      </c>
      <c r="C127" s="3" t="s">
        <v>55</v>
      </c>
      <c r="D127" s="3" t="n">
        <v>4</v>
      </c>
      <c r="E127" s="5" t="n">
        <v>25</v>
      </c>
      <c r="F127" s="3" t="s">
        <v>89</v>
      </c>
      <c r="G127" s="3" t="s">
        <v>79</v>
      </c>
    </row>
    <row r="128" customFormat="false" ht="15" hidden="false" customHeight="false" outlineLevel="0" collapsed="false">
      <c r="A128" s="4" t="s">
        <v>210</v>
      </c>
      <c r="B128" s="8" t="n">
        <v>46042</v>
      </c>
      <c r="C128" s="4" t="s">
        <v>44</v>
      </c>
      <c r="D128" s="4" t="n">
        <v>3</v>
      </c>
      <c r="E128" s="6" t="n">
        <v>5</v>
      </c>
      <c r="F128" s="4" t="s">
        <v>81</v>
      </c>
      <c r="G128" s="4" t="s">
        <v>79</v>
      </c>
    </row>
    <row r="129" customFormat="false" ht="15" hidden="false" customHeight="false" outlineLevel="0" collapsed="false">
      <c r="A129" s="3" t="s">
        <v>211</v>
      </c>
      <c r="B129" s="7" t="n">
        <v>46044</v>
      </c>
      <c r="C129" s="3" t="s">
        <v>39</v>
      </c>
      <c r="D129" s="3" t="n">
        <v>1</v>
      </c>
      <c r="E129" s="5" t="n">
        <v>8</v>
      </c>
      <c r="F129" s="3" t="s">
        <v>89</v>
      </c>
      <c r="G129" s="3" t="s">
        <v>79</v>
      </c>
    </row>
    <row r="130" customFormat="false" ht="15" hidden="false" customHeight="false" outlineLevel="0" collapsed="false">
      <c r="A130" s="4" t="s">
        <v>212</v>
      </c>
      <c r="B130" s="8" t="n">
        <v>46044</v>
      </c>
      <c r="C130" s="4" t="s">
        <v>34</v>
      </c>
      <c r="D130" s="4" t="n">
        <v>1</v>
      </c>
      <c r="E130" s="6" t="n">
        <v>10</v>
      </c>
      <c r="F130" s="4" t="s">
        <v>89</v>
      </c>
      <c r="G130" s="4" t="s">
        <v>79</v>
      </c>
    </row>
    <row r="131" customFormat="false" ht="15" hidden="false" customHeight="false" outlineLevel="0" collapsed="false">
      <c r="A131" s="3" t="s">
        <v>213</v>
      </c>
      <c r="B131" s="7" t="n">
        <v>46044</v>
      </c>
      <c r="C131" s="3" t="s">
        <v>27</v>
      </c>
      <c r="D131" s="3" t="n">
        <v>2</v>
      </c>
      <c r="E131" s="5" t="n">
        <v>18</v>
      </c>
      <c r="F131" s="3" t="s">
        <v>89</v>
      </c>
      <c r="G131" s="3" t="s">
        <v>79</v>
      </c>
    </row>
    <row r="132" customFormat="false" ht="15" hidden="false" customHeight="false" outlineLevel="0" collapsed="false">
      <c r="A132" s="4" t="s">
        <v>214</v>
      </c>
      <c r="B132" s="8" t="n">
        <v>46044</v>
      </c>
      <c r="C132" s="4" t="s">
        <v>32</v>
      </c>
      <c r="D132" s="4" t="n">
        <v>1</v>
      </c>
      <c r="E132" s="6" t="n">
        <v>12</v>
      </c>
      <c r="F132" s="4" t="s">
        <v>78</v>
      </c>
      <c r="G132" s="4" t="s">
        <v>79</v>
      </c>
    </row>
    <row r="133" customFormat="false" ht="15" hidden="false" customHeight="false" outlineLevel="0" collapsed="false">
      <c r="A133" s="3" t="s">
        <v>215</v>
      </c>
      <c r="B133" s="7" t="n">
        <v>46046</v>
      </c>
      <c r="C133" s="3" t="s">
        <v>32</v>
      </c>
      <c r="D133" s="3" t="n">
        <v>3</v>
      </c>
      <c r="E133" s="5" t="n">
        <v>12</v>
      </c>
      <c r="F133" s="3" t="s">
        <v>89</v>
      </c>
      <c r="G133" s="3" t="s">
        <v>84</v>
      </c>
    </row>
    <row r="134" customFormat="false" ht="15" hidden="false" customHeight="false" outlineLevel="0" collapsed="false">
      <c r="A134" s="4" t="s">
        <v>216</v>
      </c>
      <c r="B134" s="8" t="n">
        <v>46046</v>
      </c>
      <c r="C134" s="4" t="s">
        <v>63</v>
      </c>
      <c r="D134" s="4" t="n">
        <v>1</v>
      </c>
      <c r="E134" s="6" t="n">
        <v>3</v>
      </c>
      <c r="F134" s="4" t="s">
        <v>78</v>
      </c>
      <c r="G134" s="4" t="s">
        <v>79</v>
      </c>
    </row>
    <row r="135" customFormat="false" ht="15" hidden="false" customHeight="false" outlineLevel="0" collapsed="false">
      <c r="A135" s="3" t="s">
        <v>217</v>
      </c>
      <c r="B135" s="7" t="n">
        <v>46047</v>
      </c>
      <c r="C135" s="3" t="s">
        <v>32</v>
      </c>
      <c r="D135" s="3" t="n">
        <v>1</v>
      </c>
      <c r="E135" s="5" t="n">
        <v>12</v>
      </c>
      <c r="F135" s="3" t="s">
        <v>86</v>
      </c>
      <c r="G135" s="3" t="s">
        <v>79</v>
      </c>
    </row>
    <row r="136" customFormat="false" ht="15" hidden="false" customHeight="false" outlineLevel="0" collapsed="false">
      <c r="A136" s="4" t="s">
        <v>218</v>
      </c>
      <c r="B136" s="8" t="n">
        <v>46047</v>
      </c>
      <c r="C136" s="4" t="s">
        <v>30</v>
      </c>
      <c r="D136" s="4" t="n">
        <v>2</v>
      </c>
      <c r="E136" s="6" t="n">
        <v>14</v>
      </c>
      <c r="F136" s="4" t="s">
        <v>89</v>
      </c>
      <c r="G136" s="4" t="s">
        <v>79</v>
      </c>
    </row>
    <row r="137" customFormat="false" ht="15" hidden="false" customHeight="false" outlineLevel="0" collapsed="false">
      <c r="A137" s="3" t="s">
        <v>219</v>
      </c>
      <c r="B137" s="7" t="n">
        <v>46047</v>
      </c>
      <c r="C137" s="3" t="s">
        <v>55</v>
      </c>
      <c r="D137" s="3" t="n">
        <v>3</v>
      </c>
      <c r="E137" s="5" t="n">
        <v>25</v>
      </c>
      <c r="F137" s="3" t="s">
        <v>81</v>
      </c>
      <c r="G137" s="3" t="s">
        <v>92</v>
      </c>
    </row>
    <row r="138" customFormat="false" ht="15" hidden="false" customHeight="false" outlineLevel="0" collapsed="false">
      <c r="A138" s="4" t="s">
        <v>220</v>
      </c>
      <c r="B138" s="8" t="n">
        <v>46047</v>
      </c>
      <c r="C138" s="4" t="s">
        <v>32</v>
      </c>
      <c r="D138" s="4" t="n">
        <v>1</v>
      </c>
      <c r="E138" s="6" t="n">
        <v>12</v>
      </c>
      <c r="F138" s="4" t="s">
        <v>89</v>
      </c>
      <c r="G138" s="4" t="s">
        <v>92</v>
      </c>
    </row>
    <row r="139" customFormat="false" ht="15" hidden="false" customHeight="false" outlineLevel="0" collapsed="false">
      <c r="A139" s="3" t="s">
        <v>221</v>
      </c>
      <c r="B139" s="7" t="n">
        <v>46048</v>
      </c>
      <c r="C139" s="3" t="s">
        <v>57</v>
      </c>
      <c r="D139" s="3" t="n">
        <v>2</v>
      </c>
      <c r="E139" s="5" t="n">
        <v>30</v>
      </c>
      <c r="F139" s="3" t="s">
        <v>86</v>
      </c>
      <c r="G139" s="3" t="s">
        <v>79</v>
      </c>
    </row>
    <row r="140" customFormat="false" ht="15" hidden="false" customHeight="false" outlineLevel="0" collapsed="false">
      <c r="A140" s="4" t="s">
        <v>222</v>
      </c>
      <c r="B140" s="8" t="n">
        <v>46050</v>
      </c>
      <c r="C140" s="4" t="s">
        <v>66</v>
      </c>
      <c r="D140" s="4" t="n">
        <v>1</v>
      </c>
      <c r="E140" s="6" t="n">
        <v>3</v>
      </c>
      <c r="F140" s="4" t="s">
        <v>89</v>
      </c>
      <c r="G140" s="4" t="s">
        <v>84</v>
      </c>
    </row>
    <row r="141" customFormat="false" ht="15" hidden="false" customHeight="false" outlineLevel="0" collapsed="false">
      <c r="A141" s="3" t="s">
        <v>223</v>
      </c>
      <c r="B141" s="7" t="n">
        <v>46050</v>
      </c>
      <c r="C141" s="3" t="s">
        <v>51</v>
      </c>
      <c r="D141" s="3" t="n">
        <v>4</v>
      </c>
      <c r="E141" s="5" t="n">
        <v>12</v>
      </c>
      <c r="F141" s="3" t="s">
        <v>86</v>
      </c>
      <c r="G141" s="3" t="s">
        <v>84</v>
      </c>
    </row>
    <row r="142" customFormat="false" ht="15" hidden="false" customHeight="false" outlineLevel="0" collapsed="false">
      <c r="A142" s="4" t="s">
        <v>224</v>
      </c>
      <c r="B142" s="8" t="n">
        <v>46051</v>
      </c>
      <c r="C142" s="4" t="s">
        <v>44</v>
      </c>
      <c r="D142" s="4" t="n">
        <v>3</v>
      </c>
      <c r="E142" s="6" t="n">
        <v>5</v>
      </c>
      <c r="F142" s="4" t="s">
        <v>86</v>
      </c>
      <c r="G142" s="4" t="s">
        <v>84</v>
      </c>
    </row>
    <row r="143" customFormat="false" ht="15" hidden="false" customHeight="false" outlineLevel="0" collapsed="false">
      <c r="A143" s="3" t="s">
        <v>225</v>
      </c>
      <c r="B143" s="7" t="n">
        <v>46051</v>
      </c>
      <c r="C143" s="3" t="s">
        <v>32</v>
      </c>
      <c r="D143" s="3" t="n">
        <v>3</v>
      </c>
      <c r="E143" s="5" t="n">
        <v>12</v>
      </c>
      <c r="F143" s="3" t="s">
        <v>81</v>
      </c>
      <c r="G143" s="3" t="s">
        <v>79</v>
      </c>
    </row>
    <row r="144" customFormat="false" ht="15" hidden="false" customHeight="false" outlineLevel="0" collapsed="false">
      <c r="A144" s="4" t="s">
        <v>226</v>
      </c>
      <c r="B144" s="8" t="n">
        <v>46051</v>
      </c>
      <c r="C144" s="4" t="s">
        <v>34</v>
      </c>
      <c r="D144" s="4" t="n">
        <v>1</v>
      </c>
      <c r="E144" s="6" t="n">
        <v>10</v>
      </c>
      <c r="F144" s="4" t="s">
        <v>86</v>
      </c>
      <c r="G144" s="4" t="s">
        <v>79</v>
      </c>
    </row>
    <row r="145" customFormat="false" ht="15" hidden="false" customHeight="false" outlineLevel="0" collapsed="false">
      <c r="A145" s="3" t="s">
        <v>227</v>
      </c>
      <c r="B145" s="7" t="n">
        <v>46052</v>
      </c>
      <c r="C145" s="3" t="s">
        <v>55</v>
      </c>
      <c r="D145" s="3" t="n">
        <v>3</v>
      </c>
      <c r="E145" s="5" t="n">
        <v>25</v>
      </c>
      <c r="F145" s="3" t="s">
        <v>81</v>
      </c>
      <c r="G145" s="3" t="s">
        <v>84</v>
      </c>
    </row>
    <row r="146" customFormat="false" ht="15" hidden="false" customHeight="false" outlineLevel="0" collapsed="false">
      <c r="A146" s="4" t="s">
        <v>228</v>
      </c>
      <c r="B146" s="8" t="n">
        <v>46054</v>
      </c>
      <c r="C146" s="4" t="s">
        <v>47</v>
      </c>
      <c r="D146" s="4" t="n">
        <v>4</v>
      </c>
      <c r="E146" s="6" t="n">
        <v>4</v>
      </c>
      <c r="F146" s="4" t="s">
        <v>81</v>
      </c>
      <c r="G146" s="4" t="s">
        <v>82</v>
      </c>
    </row>
    <row r="147" customFormat="false" ht="15" hidden="false" customHeight="false" outlineLevel="0" collapsed="false">
      <c r="A147" s="3" t="s">
        <v>229</v>
      </c>
      <c r="B147" s="7" t="n">
        <v>46054</v>
      </c>
      <c r="C147" s="3" t="s">
        <v>37</v>
      </c>
      <c r="D147" s="3" t="n">
        <v>3</v>
      </c>
      <c r="E147" s="5" t="n">
        <v>16</v>
      </c>
      <c r="F147" s="3" t="s">
        <v>78</v>
      </c>
      <c r="G147" s="3" t="s">
        <v>82</v>
      </c>
    </row>
    <row r="148" customFormat="false" ht="15" hidden="false" customHeight="false" outlineLevel="0" collapsed="false">
      <c r="A148" s="4" t="s">
        <v>230</v>
      </c>
      <c r="B148" s="8" t="n">
        <v>46055</v>
      </c>
      <c r="C148" s="4" t="s">
        <v>34</v>
      </c>
      <c r="D148" s="4" t="n">
        <v>1</v>
      </c>
      <c r="E148" s="6" t="n">
        <v>10</v>
      </c>
      <c r="F148" s="4" t="s">
        <v>89</v>
      </c>
      <c r="G148" s="4" t="s">
        <v>84</v>
      </c>
    </row>
    <row r="149" customFormat="false" ht="15" hidden="false" customHeight="false" outlineLevel="0" collapsed="false">
      <c r="A149" s="3" t="s">
        <v>231</v>
      </c>
      <c r="B149" s="7" t="n">
        <v>46055</v>
      </c>
      <c r="C149" s="3" t="s">
        <v>68</v>
      </c>
      <c r="D149" s="3" t="n">
        <v>2</v>
      </c>
      <c r="E149" s="5" t="n">
        <v>5</v>
      </c>
      <c r="F149" s="3" t="s">
        <v>86</v>
      </c>
      <c r="G149" s="3" t="s">
        <v>79</v>
      </c>
    </row>
    <row r="150" customFormat="false" ht="15" hidden="false" customHeight="false" outlineLevel="0" collapsed="false">
      <c r="A150" s="4" t="s">
        <v>232</v>
      </c>
      <c r="B150" s="8" t="n">
        <v>46059</v>
      </c>
      <c r="C150" s="4" t="s">
        <v>51</v>
      </c>
      <c r="D150" s="4" t="n">
        <v>3</v>
      </c>
      <c r="E150" s="6" t="n">
        <v>12</v>
      </c>
      <c r="F150" s="4" t="s">
        <v>89</v>
      </c>
      <c r="G150" s="4" t="s">
        <v>79</v>
      </c>
    </row>
    <row r="151" customFormat="false" ht="15" hidden="false" customHeight="false" outlineLevel="0" collapsed="false">
      <c r="A151" s="3" t="s">
        <v>233</v>
      </c>
      <c r="B151" s="7" t="n">
        <v>46060</v>
      </c>
      <c r="C151" s="3" t="s">
        <v>61</v>
      </c>
      <c r="D151" s="3" t="n">
        <v>1</v>
      </c>
      <c r="E151" s="5" t="n">
        <v>6</v>
      </c>
      <c r="F151" s="3" t="s">
        <v>86</v>
      </c>
      <c r="G151" s="3" t="s">
        <v>79</v>
      </c>
    </row>
    <row r="152" customFormat="false" ht="15" hidden="false" customHeight="false" outlineLevel="0" collapsed="false">
      <c r="A152" s="4" t="s">
        <v>234</v>
      </c>
      <c r="B152" s="8" t="n">
        <v>46060</v>
      </c>
      <c r="C152" s="4" t="s">
        <v>59</v>
      </c>
      <c r="D152" s="4" t="n">
        <v>4</v>
      </c>
      <c r="E152" s="6" t="n">
        <v>20</v>
      </c>
      <c r="F152" s="4" t="s">
        <v>86</v>
      </c>
      <c r="G152" s="4" t="s">
        <v>84</v>
      </c>
    </row>
    <row r="153" customFormat="false" ht="15" hidden="false" customHeight="false" outlineLevel="0" collapsed="false">
      <c r="A153" s="3" t="s">
        <v>235</v>
      </c>
      <c r="B153" s="7" t="n">
        <v>46060</v>
      </c>
      <c r="C153" s="3" t="s">
        <v>49</v>
      </c>
      <c r="D153" s="3" t="n">
        <v>1</v>
      </c>
      <c r="E153" s="5" t="n">
        <v>15</v>
      </c>
      <c r="F153" s="3" t="s">
        <v>81</v>
      </c>
      <c r="G153" s="3" t="s">
        <v>92</v>
      </c>
    </row>
    <row r="154" customFormat="false" ht="15" hidden="false" customHeight="false" outlineLevel="0" collapsed="false">
      <c r="A154" s="4" t="s">
        <v>236</v>
      </c>
      <c r="B154" s="8" t="n">
        <v>46061</v>
      </c>
      <c r="C154" s="4" t="s">
        <v>68</v>
      </c>
      <c r="D154" s="4" t="n">
        <v>3</v>
      </c>
      <c r="E154" s="6" t="n">
        <v>5</v>
      </c>
      <c r="F154" s="4" t="s">
        <v>89</v>
      </c>
      <c r="G154" s="4" t="s">
        <v>79</v>
      </c>
    </row>
    <row r="155" customFormat="false" ht="15" hidden="false" customHeight="false" outlineLevel="0" collapsed="false">
      <c r="A155" s="3" t="s">
        <v>237</v>
      </c>
      <c r="B155" s="7" t="n">
        <v>46065</v>
      </c>
      <c r="C155" s="3" t="s">
        <v>30</v>
      </c>
      <c r="D155" s="3" t="n">
        <v>3</v>
      </c>
      <c r="E155" s="5" t="n">
        <v>14</v>
      </c>
      <c r="F155" s="3" t="s">
        <v>78</v>
      </c>
      <c r="G155" s="3" t="s">
        <v>79</v>
      </c>
    </row>
    <row r="156" customFormat="false" ht="15" hidden="false" customHeight="false" outlineLevel="0" collapsed="false">
      <c r="A156" s="4" t="s">
        <v>238</v>
      </c>
      <c r="B156" s="8" t="n">
        <v>46066</v>
      </c>
      <c r="C156" s="4" t="s">
        <v>42</v>
      </c>
      <c r="D156" s="4" t="n">
        <v>4</v>
      </c>
      <c r="E156" s="6" t="n">
        <v>7</v>
      </c>
      <c r="F156" s="4" t="s">
        <v>89</v>
      </c>
      <c r="G156" s="4" t="s">
        <v>92</v>
      </c>
    </row>
    <row r="157" customFormat="false" ht="15" hidden="false" customHeight="false" outlineLevel="0" collapsed="false">
      <c r="A157" s="3" t="s">
        <v>239</v>
      </c>
      <c r="B157" s="7" t="n">
        <v>46067</v>
      </c>
      <c r="C157" s="3" t="s">
        <v>34</v>
      </c>
      <c r="D157" s="3" t="n">
        <v>4</v>
      </c>
      <c r="E157" s="5" t="n">
        <v>10</v>
      </c>
      <c r="F157" s="3" t="s">
        <v>89</v>
      </c>
      <c r="G157" s="3" t="s">
        <v>84</v>
      </c>
    </row>
    <row r="158" customFormat="false" ht="15" hidden="false" customHeight="false" outlineLevel="0" collapsed="false">
      <c r="A158" s="4" t="s">
        <v>240</v>
      </c>
      <c r="B158" s="8" t="n">
        <v>46069</v>
      </c>
      <c r="C158" s="4" t="s">
        <v>30</v>
      </c>
      <c r="D158" s="4" t="n">
        <v>4</v>
      </c>
      <c r="E158" s="6" t="n">
        <v>14</v>
      </c>
      <c r="F158" s="4" t="s">
        <v>86</v>
      </c>
      <c r="G158" s="4" t="s">
        <v>84</v>
      </c>
    </row>
    <row r="159" customFormat="false" ht="15" hidden="false" customHeight="false" outlineLevel="0" collapsed="false">
      <c r="A159" s="3" t="s">
        <v>241</v>
      </c>
      <c r="B159" s="7" t="n">
        <v>46069</v>
      </c>
      <c r="C159" s="3" t="s">
        <v>27</v>
      </c>
      <c r="D159" s="3" t="n">
        <v>3</v>
      </c>
      <c r="E159" s="5" t="n">
        <v>18</v>
      </c>
      <c r="F159" s="3" t="s">
        <v>81</v>
      </c>
      <c r="G159" s="3" t="s">
        <v>84</v>
      </c>
    </row>
    <row r="160" customFormat="false" ht="15" hidden="false" customHeight="false" outlineLevel="0" collapsed="false">
      <c r="A160" s="4" t="s">
        <v>242</v>
      </c>
      <c r="B160" s="8" t="n">
        <v>46070</v>
      </c>
      <c r="C160" s="4" t="s">
        <v>37</v>
      </c>
      <c r="D160" s="4" t="n">
        <v>1</v>
      </c>
      <c r="E160" s="6" t="n">
        <v>16</v>
      </c>
      <c r="F160" s="4" t="s">
        <v>89</v>
      </c>
      <c r="G160" s="4" t="s">
        <v>79</v>
      </c>
    </row>
    <row r="161" customFormat="false" ht="15" hidden="false" customHeight="false" outlineLevel="0" collapsed="false">
      <c r="A161" s="3" t="s">
        <v>243</v>
      </c>
      <c r="B161" s="7" t="n">
        <v>46070</v>
      </c>
      <c r="C161" s="3" t="s">
        <v>37</v>
      </c>
      <c r="D161" s="3" t="n">
        <v>2</v>
      </c>
      <c r="E161" s="5" t="n">
        <v>16</v>
      </c>
      <c r="F161" s="3" t="s">
        <v>81</v>
      </c>
      <c r="G161" s="3" t="s">
        <v>79</v>
      </c>
    </row>
    <row r="162" customFormat="false" ht="15" hidden="false" customHeight="false" outlineLevel="0" collapsed="false">
      <c r="A162" s="4" t="s">
        <v>244</v>
      </c>
      <c r="B162" s="8" t="n">
        <v>46071</v>
      </c>
      <c r="C162" s="4" t="s">
        <v>51</v>
      </c>
      <c r="D162" s="4" t="n">
        <v>1</v>
      </c>
      <c r="E162" s="6" t="n">
        <v>12</v>
      </c>
      <c r="F162" s="4" t="s">
        <v>89</v>
      </c>
      <c r="G162" s="4" t="s">
        <v>92</v>
      </c>
    </row>
    <row r="163" customFormat="false" ht="15" hidden="false" customHeight="false" outlineLevel="0" collapsed="false">
      <c r="A163" s="3" t="s">
        <v>245</v>
      </c>
      <c r="B163" s="7" t="n">
        <v>46072</v>
      </c>
      <c r="C163" s="3" t="s">
        <v>51</v>
      </c>
      <c r="D163" s="3" t="n">
        <v>2</v>
      </c>
      <c r="E163" s="5" t="n">
        <v>12</v>
      </c>
      <c r="F163" s="3" t="s">
        <v>78</v>
      </c>
      <c r="G163" s="3" t="s">
        <v>79</v>
      </c>
    </row>
    <row r="164" customFormat="false" ht="15" hidden="false" customHeight="false" outlineLevel="0" collapsed="false">
      <c r="A164" s="4" t="s">
        <v>246</v>
      </c>
      <c r="B164" s="8" t="n">
        <v>46072</v>
      </c>
      <c r="C164" s="4" t="s">
        <v>30</v>
      </c>
      <c r="D164" s="4" t="n">
        <v>2</v>
      </c>
      <c r="E164" s="6" t="n">
        <v>14</v>
      </c>
      <c r="F164" s="4" t="s">
        <v>89</v>
      </c>
      <c r="G164" s="4" t="s">
        <v>79</v>
      </c>
    </row>
    <row r="165" customFormat="false" ht="15" hidden="false" customHeight="false" outlineLevel="0" collapsed="false">
      <c r="A165" s="3" t="s">
        <v>247</v>
      </c>
      <c r="B165" s="7" t="n">
        <v>46072</v>
      </c>
      <c r="C165" s="3" t="s">
        <v>32</v>
      </c>
      <c r="D165" s="3" t="n">
        <v>2</v>
      </c>
      <c r="E165" s="5" t="n">
        <v>12</v>
      </c>
      <c r="F165" s="3" t="s">
        <v>78</v>
      </c>
      <c r="G165" s="3" t="s">
        <v>92</v>
      </c>
    </row>
    <row r="166" customFormat="false" ht="15" hidden="false" customHeight="false" outlineLevel="0" collapsed="false">
      <c r="A166" s="4" t="s">
        <v>248</v>
      </c>
      <c r="B166" s="8" t="n">
        <v>46073</v>
      </c>
      <c r="C166" s="4" t="s">
        <v>55</v>
      </c>
      <c r="D166" s="4" t="n">
        <v>1</v>
      </c>
      <c r="E166" s="6" t="n">
        <v>25</v>
      </c>
      <c r="F166" s="4" t="s">
        <v>78</v>
      </c>
      <c r="G166" s="4" t="s">
        <v>84</v>
      </c>
    </row>
    <row r="167" customFormat="false" ht="15" hidden="false" customHeight="false" outlineLevel="0" collapsed="false">
      <c r="A167" s="3" t="s">
        <v>249</v>
      </c>
      <c r="B167" s="7" t="n">
        <v>46073</v>
      </c>
      <c r="C167" s="3" t="s">
        <v>66</v>
      </c>
      <c r="D167" s="3" t="n">
        <v>3</v>
      </c>
      <c r="E167" s="5" t="n">
        <v>3</v>
      </c>
      <c r="F167" s="3" t="s">
        <v>89</v>
      </c>
      <c r="G167" s="3" t="s">
        <v>79</v>
      </c>
    </row>
    <row r="168" customFormat="false" ht="15" hidden="false" customHeight="false" outlineLevel="0" collapsed="false">
      <c r="A168" s="4" t="s">
        <v>250</v>
      </c>
      <c r="B168" s="8" t="n">
        <v>46074</v>
      </c>
      <c r="C168" s="4" t="s">
        <v>51</v>
      </c>
      <c r="D168" s="4" t="n">
        <v>4</v>
      </c>
      <c r="E168" s="6" t="n">
        <v>12</v>
      </c>
      <c r="F168" s="4" t="s">
        <v>86</v>
      </c>
      <c r="G168" s="4" t="s">
        <v>79</v>
      </c>
    </row>
    <row r="169" customFormat="false" ht="15" hidden="false" customHeight="false" outlineLevel="0" collapsed="false">
      <c r="A169" s="3" t="s">
        <v>251</v>
      </c>
      <c r="B169" s="7" t="n">
        <v>46075</v>
      </c>
      <c r="C169" s="3" t="s">
        <v>61</v>
      </c>
      <c r="D169" s="3" t="n">
        <v>2</v>
      </c>
      <c r="E169" s="5" t="n">
        <v>6</v>
      </c>
      <c r="F169" s="3" t="s">
        <v>78</v>
      </c>
      <c r="G169" s="3" t="s">
        <v>79</v>
      </c>
    </row>
    <row r="170" customFormat="false" ht="15" hidden="false" customHeight="false" outlineLevel="0" collapsed="false">
      <c r="A170" s="4" t="s">
        <v>252</v>
      </c>
      <c r="B170" s="8" t="n">
        <v>46076</v>
      </c>
      <c r="C170" s="4" t="s">
        <v>49</v>
      </c>
      <c r="D170" s="4" t="n">
        <v>1</v>
      </c>
      <c r="E170" s="6" t="n">
        <v>15</v>
      </c>
      <c r="F170" s="4" t="s">
        <v>81</v>
      </c>
      <c r="G170" s="4" t="s">
        <v>84</v>
      </c>
    </row>
    <row r="171" customFormat="false" ht="15" hidden="false" customHeight="false" outlineLevel="0" collapsed="false">
      <c r="A171" s="3" t="s">
        <v>253</v>
      </c>
      <c r="B171" s="7" t="n">
        <v>46077</v>
      </c>
      <c r="C171" s="3" t="s">
        <v>32</v>
      </c>
      <c r="D171" s="3" t="n">
        <v>4</v>
      </c>
      <c r="E171" s="5" t="n">
        <v>12</v>
      </c>
      <c r="F171" s="3" t="s">
        <v>81</v>
      </c>
      <c r="G171" s="3" t="s">
        <v>79</v>
      </c>
    </row>
    <row r="172" customFormat="false" ht="15" hidden="false" customHeight="false" outlineLevel="0" collapsed="false">
      <c r="A172" s="4" t="s">
        <v>254</v>
      </c>
      <c r="B172" s="8" t="n">
        <v>46077</v>
      </c>
      <c r="C172" s="4" t="s">
        <v>51</v>
      </c>
      <c r="D172" s="4" t="n">
        <v>3</v>
      </c>
      <c r="E172" s="6" t="n">
        <v>12</v>
      </c>
      <c r="F172" s="4" t="s">
        <v>89</v>
      </c>
      <c r="G172" s="4" t="s">
        <v>79</v>
      </c>
    </row>
    <row r="173" customFormat="false" ht="15" hidden="false" customHeight="false" outlineLevel="0" collapsed="false">
      <c r="A173" s="3" t="s">
        <v>255</v>
      </c>
      <c r="B173" s="7" t="n">
        <v>46078</v>
      </c>
      <c r="C173" s="3" t="s">
        <v>27</v>
      </c>
      <c r="D173" s="3" t="n">
        <v>4</v>
      </c>
      <c r="E173" s="5" t="n">
        <v>18</v>
      </c>
      <c r="F173" s="3" t="s">
        <v>89</v>
      </c>
      <c r="G173" s="3" t="s">
        <v>84</v>
      </c>
    </row>
    <row r="174" customFormat="false" ht="15" hidden="false" customHeight="false" outlineLevel="0" collapsed="false">
      <c r="A174" s="4" t="s">
        <v>256</v>
      </c>
      <c r="B174" s="8" t="n">
        <v>46078</v>
      </c>
      <c r="C174" s="4" t="s">
        <v>55</v>
      </c>
      <c r="D174" s="4" t="n">
        <v>4</v>
      </c>
      <c r="E174" s="6" t="n">
        <v>25</v>
      </c>
      <c r="F174" s="4" t="s">
        <v>81</v>
      </c>
      <c r="G174" s="4" t="s">
        <v>92</v>
      </c>
    </row>
    <row r="175" customFormat="false" ht="15" hidden="false" customHeight="false" outlineLevel="0" collapsed="false">
      <c r="A175" s="3" t="s">
        <v>257</v>
      </c>
      <c r="B175" s="7" t="n">
        <v>46080</v>
      </c>
      <c r="C175" s="3" t="s">
        <v>39</v>
      </c>
      <c r="D175" s="3" t="n">
        <v>3</v>
      </c>
      <c r="E175" s="5" t="n">
        <v>8</v>
      </c>
      <c r="F175" s="3" t="s">
        <v>81</v>
      </c>
      <c r="G175" s="3" t="s">
        <v>79</v>
      </c>
    </row>
    <row r="176" customFormat="false" ht="15" hidden="false" customHeight="false" outlineLevel="0" collapsed="false">
      <c r="A176" s="4" t="s">
        <v>258</v>
      </c>
      <c r="B176" s="8" t="n">
        <v>46082</v>
      </c>
      <c r="C176" s="4" t="s">
        <v>57</v>
      </c>
      <c r="D176" s="4" t="n">
        <v>1</v>
      </c>
      <c r="E176" s="6" t="n">
        <v>30</v>
      </c>
      <c r="F176" s="4" t="s">
        <v>78</v>
      </c>
      <c r="G176" s="4" t="s">
        <v>92</v>
      </c>
    </row>
    <row r="177" customFormat="false" ht="15" hidden="false" customHeight="false" outlineLevel="0" collapsed="false">
      <c r="A177" s="3" t="s">
        <v>259</v>
      </c>
      <c r="B177" s="7" t="n">
        <v>46083</v>
      </c>
      <c r="C177" s="3" t="s">
        <v>57</v>
      </c>
      <c r="D177" s="3" t="n">
        <v>2</v>
      </c>
      <c r="E177" s="5" t="n">
        <v>30</v>
      </c>
      <c r="F177" s="3" t="s">
        <v>86</v>
      </c>
      <c r="G177" s="3" t="s">
        <v>84</v>
      </c>
    </row>
    <row r="178" customFormat="false" ht="15" hidden="false" customHeight="false" outlineLevel="0" collapsed="false">
      <c r="A178" s="4" t="s">
        <v>260</v>
      </c>
      <c r="B178" s="8" t="n">
        <v>46084</v>
      </c>
      <c r="C178" s="4" t="s">
        <v>39</v>
      </c>
      <c r="D178" s="4" t="n">
        <v>3</v>
      </c>
      <c r="E178" s="6" t="n">
        <v>8</v>
      </c>
      <c r="F178" s="4" t="s">
        <v>78</v>
      </c>
      <c r="G178" s="4" t="s">
        <v>79</v>
      </c>
    </row>
    <row r="179" customFormat="false" ht="15" hidden="false" customHeight="false" outlineLevel="0" collapsed="false">
      <c r="A179" s="3" t="s">
        <v>261</v>
      </c>
      <c r="B179" s="7" t="n">
        <v>46084</v>
      </c>
      <c r="C179" s="3" t="s">
        <v>30</v>
      </c>
      <c r="D179" s="3" t="n">
        <v>2</v>
      </c>
      <c r="E179" s="5" t="n">
        <v>14</v>
      </c>
      <c r="F179" s="3" t="s">
        <v>86</v>
      </c>
      <c r="G179" s="3" t="s">
        <v>84</v>
      </c>
    </row>
    <row r="180" customFormat="false" ht="15" hidden="false" customHeight="false" outlineLevel="0" collapsed="false">
      <c r="A180" s="4" t="s">
        <v>262</v>
      </c>
      <c r="B180" s="8" t="n">
        <v>46084</v>
      </c>
      <c r="C180" s="4" t="s">
        <v>32</v>
      </c>
      <c r="D180" s="4" t="n">
        <v>2</v>
      </c>
      <c r="E180" s="6" t="n">
        <v>12</v>
      </c>
      <c r="F180" s="4" t="s">
        <v>86</v>
      </c>
      <c r="G180" s="4" t="s">
        <v>92</v>
      </c>
    </row>
    <row r="181" customFormat="false" ht="15" hidden="false" customHeight="false" outlineLevel="0" collapsed="false">
      <c r="A181" s="3" t="s">
        <v>263</v>
      </c>
      <c r="B181" s="7" t="n">
        <v>46086</v>
      </c>
      <c r="C181" s="3" t="s">
        <v>32</v>
      </c>
      <c r="D181" s="3" t="n">
        <v>2</v>
      </c>
      <c r="E181" s="5" t="n">
        <v>12</v>
      </c>
      <c r="F181" s="3" t="s">
        <v>78</v>
      </c>
      <c r="G181" s="3" t="s">
        <v>79</v>
      </c>
    </row>
    <row r="182" customFormat="false" ht="15" hidden="false" customHeight="false" outlineLevel="0" collapsed="false">
      <c r="A182" s="4" t="s">
        <v>264</v>
      </c>
      <c r="B182" s="8" t="n">
        <v>46089</v>
      </c>
      <c r="C182" s="4" t="s">
        <v>55</v>
      </c>
      <c r="D182" s="4" t="n">
        <v>2</v>
      </c>
      <c r="E182" s="6" t="n">
        <v>25</v>
      </c>
      <c r="F182" s="4" t="s">
        <v>89</v>
      </c>
      <c r="G182" s="4" t="s">
        <v>92</v>
      </c>
    </row>
    <row r="183" customFormat="false" ht="15" hidden="false" customHeight="false" outlineLevel="0" collapsed="false">
      <c r="A183" s="3" t="s">
        <v>265</v>
      </c>
      <c r="B183" s="7" t="n">
        <v>46089</v>
      </c>
      <c r="C183" s="3" t="s">
        <v>27</v>
      </c>
      <c r="D183" s="3" t="n">
        <v>4</v>
      </c>
      <c r="E183" s="5" t="n">
        <v>18</v>
      </c>
      <c r="F183" s="3" t="s">
        <v>81</v>
      </c>
      <c r="G183" s="3" t="s">
        <v>79</v>
      </c>
    </row>
    <row r="184" customFormat="false" ht="15" hidden="false" customHeight="false" outlineLevel="0" collapsed="false">
      <c r="A184" s="4" t="s">
        <v>266</v>
      </c>
      <c r="B184" s="8" t="n">
        <v>46090</v>
      </c>
      <c r="C184" s="4" t="s">
        <v>59</v>
      </c>
      <c r="D184" s="4" t="n">
        <v>1</v>
      </c>
      <c r="E184" s="6" t="n">
        <v>20</v>
      </c>
      <c r="F184" s="4" t="s">
        <v>89</v>
      </c>
      <c r="G184" s="4" t="s">
        <v>84</v>
      </c>
    </row>
    <row r="185" customFormat="false" ht="15" hidden="false" customHeight="false" outlineLevel="0" collapsed="false">
      <c r="A185" s="3" t="s">
        <v>267</v>
      </c>
      <c r="B185" s="7" t="n">
        <v>46090</v>
      </c>
      <c r="C185" s="3" t="s">
        <v>30</v>
      </c>
      <c r="D185" s="3" t="n">
        <v>1</v>
      </c>
      <c r="E185" s="5" t="n">
        <v>14</v>
      </c>
      <c r="F185" s="3" t="s">
        <v>86</v>
      </c>
      <c r="G185" s="3" t="s">
        <v>79</v>
      </c>
    </row>
    <row r="186" customFormat="false" ht="15" hidden="false" customHeight="false" outlineLevel="0" collapsed="false">
      <c r="A186" s="4" t="s">
        <v>268</v>
      </c>
      <c r="B186" s="8" t="n">
        <v>46091</v>
      </c>
      <c r="C186" s="4" t="s">
        <v>55</v>
      </c>
      <c r="D186" s="4" t="n">
        <v>4</v>
      </c>
      <c r="E186" s="6" t="n">
        <v>25</v>
      </c>
      <c r="F186" s="4" t="s">
        <v>78</v>
      </c>
      <c r="G186" s="4" t="s">
        <v>92</v>
      </c>
    </row>
    <row r="187" customFormat="false" ht="15" hidden="false" customHeight="false" outlineLevel="0" collapsed="false">
      <c r="A187" s="3" t="s">
        <v>269</v>
      </c>
      <c r="B187" s="7" t="n">
        <v>46091</v>
      </c>
      <c r="C187" s="3" t="s">
        <v>39</v>
      </c>
      <c r="D187" s="3" t="n">
        <v>4</v>
      </c>
      <c r="E187" s="5" t="n">
        <v>8</v>
      </c>
      <c r="F187" s="3" t="s">
        <v>81</v>
      </c>
      <c r="G187" s="3" t="s">
        <v>84</v>
      </c>
    </row>
    <row r="188" customFormat="false" ht="15" hidden="false" customHeight="false" outlineLevel="0" collapsed="false">
      <c r="A188" s="4" t="s">
        <v>270</v>
      </c>
      <c r="B188" s="8" t="n">
        <v>46094</v>
      </c>
      <c r="C188" s="4" t="s">
        <v>55</v>
      </c>
      <c r="D188" s="4" t="n">
        <v>2</v>
      </c>
      <c r="E188" s="6" t="n">
        <v>25</v>
      </c>
      <c r="F188" s="4" t="s">
        <v>86</v>
      </c>
      <c r="G188" s="4" t="s">
        <v>79</v>
      </c>
    </row>
    <row r="189" customFormat="false" ht="15" hidden="false" customHeight="false" outlineLevel="0" collapsed="false">
      <c r="A189" s="3" t="s">
        <v>271</v>
      </c>
      <c r="B189" s="7" t="n">
        <v>46095</v>
      </c>
      <c r="C189" s="3" t="s">
        <v>34</v>
      </c>
      <c r="D189" s="3" t="n">
        <v>2</v>
      </c>
      <c r="E189" s="5" t="n">
        <v>10</v>
      </c>
      <c r="F189" s="3" t="s">
        <v>81</v>
      </c>
      <c r="G189" s="3" t="s">
        <v>79</v>
      </c>
    </row>
    <row r="190" customFormat="false" ht="15" hidden="false" customHeight="false" outlineLevel="0" collapsed="false">
      <c r="A190" s="4" t="s">
        <v>272</v>
      </c>
      <c r="B190" s="8" t="n">
        <v>46096</v>
      </c>
      <c r="C190" s="4" t="s">
        <v>55</v>
      </c>
      <c r="D190" s="4" t="n">
        <v>1</v>
      </c>
      <c r="E190" s="6" t="n">
        <v>25</v>
      </c>
      <c r="F190" s="4" t="s">
        <v>78</v>
      </c>
      <c r="G190" s="4" t="s">
        <v>84</v>
      </c>
    </row>
    <row r="191" customFormat="false" ht="15" hidden="false" customHeight="false" outlineLevel="0" collapsed="false">
      <c r="A191" s="3" t="s">
        <v>273</v>
      </c>
      <c r="B191" s="7" t="n">
        <v>46097</v>
      </c>
      <c r="C191" s="3" t="s">
        <v>27</v>
      </c>
      <c r="D191" s="3" t="n">
        <v>2</v>
      </c>
      <c r="E191" s="5" t="n">
        <v>18</v>
      </c>
      <c r="F191" s="3" t="s">
        <v>86</v>
      </c>
      <c r="G191" s="3" t="s">
        <v>92</v>
      </c>
    </row>
    <row r="192" customFormat="false" ht="15" hidden="false" customHeight="false" outlineLevel="0" collapsed="false">
      <c r="A192" s="4" t="s">
        <v>274</v>
      </c>
      <c r="B192" s="8" t="n">
        <v>46098</v>
      </c>
      <c r="C192" s="4" t="s">
        <v>42</v>
      </c>
      <c r="D192" s="4" t="n">
        <v>4</v>
      </c>
      <c r="E192" s="6" t="n">
        <v>7</v>
      </c>
      <c r="F192" s="4" t="s">
        <v>78</v>
      </c>
      <c r="G192" s="4" t="s">
        <v>79</v>
      </c>
    </row>
    <row r="193" customFormat="false" ht="15" hidden="false" customHeight="false" outlineLevel="0" collapsed="false">
      <c r="A193" s="3" t="s">
        <v>275</v>
      </c>
      <c r="B193" s="7" t="n">
        <v>46100</v>
      </c>
      <c r="C193" s="3" t="s">
        <v>37</v>
      </c>
      <c r="D193" s="3" t="n">
        <v>4</v>
      </c>
      <c r="E193" s="5" t="n">
        <v>16</v>
      </c>
      <c r="F193" s="3" t="s">
        <v>86</v>
      </c>
      <c r="G193" s="3" t="s">
        <v>84</v>
      </c>
    </row>
    <row r="194" customFormat="false" ht="15" hidden="false" customHeight="false" outlineLevel="0" collapsed="false">
      <c r="A194" s="4" t="s">
        <v>276</v>
      </c>
      <c r="B194" s="8" t="n">
        <v>46102</v>
      </c>
      <c r="C194" s="4" t="s">
        <v>39</v>
      </c>
      <c r="D194" s="4" t="n">
        <v>3</v>
      </c>
      <c r="E194" s="6" t="n">
        <v>8</v>
      </c>
      <c r="F194" s="4" t="s">
        <v>78</v>
      </c>
      <c r="G194" s="4" t="s">
        <v>84</v>
      </c>
    </row>
    <row r="195" customFormat="false" ht="15" hidden="false" customHeight="false" outlineLevel="0" collapsed="false">
      <c r="A195" s="3" t="s">
        <v>277</v>
      </c>
      <c r="B195" s="7" t="n">
        <v>46106</v>
      </c>
      <c r="C195" s="3" t="s">
        <v>59</v>
      </c>
      <c r="D195" s="3" t="n">
        <v>3</v>
      </c>
      <c r="E195" s="5" t="n">
        <v>20</v>
      </c>
      <c r="F195" s="3" t="s">
        <v>89</v>
      </c>
      <c r="G195" s="3" t="s">
        <v>79</v>
      </c>
    </row>
    <row r="196" customFormat="false" ht="15" hidden="false" customHeight="false" outlineLevel="0" collapsed="false">
      <c r="A196" s="4" t="s">
        <v>278</v>
      </c>
      <c r="B196" s="8" t="n">
        <v>46107</v>
      </c>
      <c r="C196" s="4" t="s">
        <v>32</v>
      </c>
      <c r="D196" s="4" t="n">
        <v>4</v>
      </c>
      <c r="E196" s="6" t="n">
        <v>12</v>
      </c>
      <c r="F196" s="4" t="s">
        <v>78</v>
      </c>
      <c r="G196" s="4" t="s">
        <v>84</v>
      </c>
    </row>
    <row r="197" customFormat="false" ht="15" hidden="false" customHeight="false" outlineLevel="0" collapsed="false">
      <c r="A197" s="3" t="s">
        <v>279</v>
      </c>
      <c r="B197" s="7" t="n">
        <v>46107</v>
      </c>
      <c r="C197" s="3" t="s">
        <v>37</v>
      </c>
      <c r="D197" s="3" t="n">
        <v>3</v>
      </c>
      <c r="E197" s="5" t="n">
        <v>16</v>
      </c>
      <c r="F197" s="3" t="s">
        <v>81</v>
      </c>
      <c r="G197" s="3" t="s">
        <v>79</v>
      </c>
    </row>
    <row r="198" customFormat="false" ht="15" hidden="false" customHeight="false" outlineLevel="0" collapsed="false">
      <c r="A198" s="4" t="s">
        <v>280</v>
      </c>
      <c r="B198" s="8" t="n">
        <v>46108</v>
      </c>
      <c r="C198" s="4" t="s">
        <v>51</v>
      </c>
      <c r="D198" s="4" t="n">
        <v>4</v>
      </c>
      <c r="E198" s="6" t="n">
        <v>12</v>
      </c>
      <c r="F198" s="4" t="s">
        <v>89</v>
      </c>
      <c r="G198" s="4" t="s">
        <v>79</v>
      </c>
    </row>
    <row r="199" customFormat="false" ht="15" hidden="false" customHeight="false" outlineLevel="0" collapsed="false">
      <c r="A199" s="3" t="s">
        <v>281</v>
      </c>
      <c r="B199" s="7" t="n">
        <v>46108</v>
      </c>
      <c r="C199" s="3" t="s">
        <v>30</v>
      </c>
      <c r="D199" s="3" t="n">
        <v>3</v>
      </c>
      <c r="E199" s="5" t="n">
        <v>14</v>
      </c>
      <c r="F199" s="3" t="s">
        <v>78</v>
      </c>
      <c r="G199" s="3" t="s">
        <v>79</v>
      </c>
    </row>
    <row r="200" customFormat="false" ht="15" hidden="false" customHeight="false" outlineLevel="0" collapsed="false">
      <c r="A200" s="4" t="s">
        <v>282</v>
      </c>
      <c r="B200" s="8" t="n">
        <v>46109</v>
      </c>
      <c r="C200" s="4" t="s">
        <v>30</v>
      </c>
      <c r="D200" s="4" t="n">
        <v>4</v>
      </c>
      <c r="E200" s="6" t="n">
        <v>14</v>
      </c>
      <c r="F200" s="4" t="s">
        <v>81</v>
      </c>
      <c r="G200" s="4" t="s">
        <v>84</v>
      </c>
    </row>
    <row r="201" customFormat="false" ht="15" hidden="false" customHeight="false" outlineLevel="0" collapsed="false">
      <c r="A201" s="3" t="s">
        <v>283</v>
      </c>
      <c r="B201" s="7" t="n">
        <v>46109</v>
      </c>
      <c r="C201" s="3" t="s">
        <v>37</v>
      </c>
      <c r="D201" s="3" t="n">
        <v>2</v>
      </c>
      <c r="E201" s="5" t="n">
        <v>16</v>
      </c>
      <c r="F201" s="3" t="s">
        <v>89</v>
      </c>
      <c r="G201" s="3" t="s">
        <v>92</v>
      </c>
    </row>
    <row r="202" customFormat="false" ht="15" hidden="false" customHeight="false" outlineLevel="0" collapsed="false">
      <c r="A202" s="4" t="s">
        <v>284</v>
      </c>
      <c r="B202" s="8" t="n">
        <v>46110</v>
      </c>
      <c r="C202" s="4" t="s">
        <v>59</v>
      </c>
      <c r="D202" s="4" t="n">
        <v>4</v>
      </c>
      <c r="E202" s="6" t="n">
        <v>20</v>
      </c>
      <c r="F202" s="4" t="s">
        <v>86</v>
      </c>
      <c r="G202" s="4" t="s">
        <v>79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34.5" hidden="false" customHeight="true" outlineLevel="0" collapsed="false">
      <c r="A1" s="9" t="s">
        <v>285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10" t="s">
        <v>286</v>
      </c>
      <c r="B3" s="10"/>
      <c r="C3" s="10"/>
      <c r="D3" s="10"/>
      <c r="E3" s="10"/>
      <c r="F3" s="10"/>
    </row>
    <row r="4" customFormat="false" ht="15" hidden="false" customHeight="false" outlineLevel="0" collapsed="false">
      <c r="A4" s="11" t="s">
        <v>287</v>
      </c>
      <c r="B4" s="11"/>
      <c r="C4" s="11"/>
      <c r="D4" s="11"/>
      <c r="E4" s="11"/>
      <c r="F4" s="12" t="n">
        <f aca="false">COUNTA(Ventas!A3:A202)</f>
        <v>200</v>
      </c>
    </row>
    <row r="5" customFormat="false" ht="15" hidden="false" customHeight="false" outlineLevel="0" collapsed="false">
      <c r="A5" s="13" t="s">
        <v>288</v>
      </c>
      <c r="B5" s="13"/>
      <c r="C5" s="13"/>
      <c r="D5" s="13"/>
      <c r="E5" s="13"/>
      <c r="F5" s="14" t="n">
        <f aca="false">SUM(Ventas!D3:D202)</f>
        <v>495</v>
      </c>
    </row>
    <row r="6" customFormat="false" ht="15" hidden="false" customHeight="false" outlineLevel="0" collapsed="false">
      <c r="A6" s="11" t="s">
        <v>289</v>
      </c>
      <c r="B6" s="11"/>
      <c r="C6" s="11"/>
      <c r="D6" s="11"/>
      <c r="E6" s="11"/>
      <c r="F6" s="15" t="n">
        <f aca="false">SUMPRODUCT(Ventas!D3:D202,Ventas!E3:E202)</f>
        <v>6655</v>
      </c>
    </row>
    <row r="7" customFormat="false" ht="15" hidden="false" customHeight="false" outlineLevel="0" collapsed="false">
      <c r="A7" s="13" t="s">
        <v>290</v>
      </c>
      <c r="B7" s="13"/>
      <c r="C7" s="13"/>
      <c r="D7" s="13"/>
      <c r="E7" s="13"/>
      <c r="F7" s="16" t="n">
        <f aca="false">SUMPRODUCT(Ventas!D3:D202,Ventas!E3:E202)/COUNTA(Ventas!A3:A202)</f>
        <v>33.275</v>
      </c>
    </row>
    <row r="8" customFormat="false" ht="15" hidden="false" customHeight="false" outlineLevel="0" collapsed="false">
      <c r="A8" s="11" t="s">
        <v>291</v>
      </c>
      <c r="B8" s="11"/>
      <c r="C8" s="11"/>
      <c r="D8" s="11"/>
      <c r="E8" s="11"/>
      <c r="F8" s="12" t="n">
        <f aca="false">COUNTA(Productos!A3:A21)</f>
        <v>19</v>
      </c>
    </row>
    <row r="9" customFormat="false" ht="15" hidden="false" customHeight="false" outlineLevel="0" collapsed="false">
      <c r="A9" s="13" t="s">
        <v>292</v>
      </c>
      <c r="B9" s="13"/>
      <c r="C9" s="13"/>
      <c r="D9" s="13"/>
      <c r="E9" s="13"/>
      <c r="F9" s="14" t="n">
        <f aca="false">SUMPRODUCT((Productos!F3:F21&lt;=Productos!G3:G21)*1)</f>
        <v>0</v>
      </c>
    </row>
    <row r="11" customFormat="false" ht="15" hidden="false" customHeight="false" outlineLevel="0" collapsed="false">
      <c r="A11" s="10" t="s">
        <v>293</v>
      </c>
      <c r="B11" s="10"/>
      <c r="C11" s="10"/>
      <c r="D11" s="10"/>
      <c r="E11" s="10"/>
      <c r="F11" s="10"/>
    </row>
    <row r="12" customFormat="false" ht="15" hidden="false" customHeight="false" outlineLevel="0" collapsed="false">
      <c r="A12" s="17" t="s">
        <v>294</v>
      </c>
      <c r="B12" s="17" t="s">
        <v>295</v>
      </c>
      <c r="C12" s="17" t="s">
        <v>296</v>
      </c>
      <c r="D12" s="17" t="s">
        <v>297</v>
      </c>
      <c r="E12" s="17" t="s">
        <v>298</v>
      </c>
      <c r="F12" s="17" t="s">
        <v>299</v>
      </c>
    </row>
    <row r="13" customFormat="false" ht="15" hidden="false" customHeight="false" outlineLevel="0" collapsed="false">
      <c r="A13" s="16" t="n">
        <f aca="false">SUMPRODUCT((MONTH(Ventas!B3:B202)=10)*(YEAR(Ventas!B3:B202)=2025)*(Ventas!D3:D202)*(Ventas!E3:E202))</f>
        <v>896</v>
      </c>
      <c r="B13" s="15" t="n">
        <f aca="false">SUMPRODUCT((MONTH(Ventas!B3:B202)=11)*(YEAR(Ventas!B3:B202)=2025)*(Ventas!D3:D202)*(Ventas!E3:E202))</f>
        <v>836</v>
      </c>
      <c r="C13" s="16" t="n">
        <f aca="false">SUMPRODUCT((MONTH(Ventas!B3:B202)=12)*(YEAR(Ventas!B3:B202)=2025)*(Ventas!D3:D202)*(Ventas!E3:E202))</f>
        <v>1607</v>
      </c>
      <c r="D13" s="15" t="n">
        <f aca="false">SUMPRODUCT((MONTH(Ventas!B3:B202)=1)*(YEAR(Ventas!B3:B202)=2026)*(Ventas!D3:D202)*(Ventas!E3:E202))</f>
        <v>1196</v>
      </c>
      <c r="E13" s="16" t="n">
        <f aca="false">SUMPRODUCT((MONTH(Ventas!B3:B202)=2)*(YEAR(Ventas!B3:B202)=2026)*(Ventas!D3:D202)*(Ventas!E3:E202))</f>
        <v>981</v>
      </c>
      <c r="F13" s="15" t="n">
        <f aca="false">SUMPRODUCT((MONTH(Ventas!B3:B202)=3)*(YEAR(Ventas!B3:B202)=2026)*(Ventas!D3:D202)*(Ventas!E3:E202))</f>
        <v>1139</v>
      </c>
    </row>
  </sheetData>
  <mergeCells count="9">
    <mergeCell ref="A1:F1"/>
    <mergeCell ref="A3:F3"/>
    <mergeCell ref="A4:E4"/>
    <mergeCell ref="A5:E5"/>
    <mergeCell ref="A6:E6"/>
    <mergeCell ref="A7:E7"/>
    <mergeCell ref="A8:E8"/>
    <mergeCell ref="A9:E9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2026-04-29T03:52:35Z</dcterms:created>
  <dc:creator>openpyxl</dc:creator>
  <dc:description/>
  <dc:language>en-US</dc:language>
  <cp:lastModifiedBy/>
  <dcterms:modified xsi:type="dcterms:W3CDTF">2026-04-29T03:52:35Z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